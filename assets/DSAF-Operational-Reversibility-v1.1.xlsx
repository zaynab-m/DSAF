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zaynabmusawi/Downloads/"/>
    </mc:Choice>
  </mc:AlternateContent>
  <xr:revisionPtr revIDLastSave="0" documentId="13_ncr:1_{14817A05-6939-B14F-AD33-6C0EC828F319}" xr6:coauthVersionLast="47" xr6:coauthVersionMax="47" xr10:uidLastSave="{00000000-0000-0000-0000-000000000000}"/>
  <bookViews>
    <workbookView xWindow="0" yWindow="740" windowWidth="30240" windowHeight="18900" activeTab="2" xr2:uid="{00000000-000D-0000-FFFF-FFFF00000000}"/>
  </bookViews>
  <sheets>
    <sheet name="Instructions" sheetId="1" r:id="rId1"/>
    <sheet name="Definitions" sheetId="8" r:id="rId2"/>
    <sheet name="C1" sheetId="2" r:id="rId3"/>
    <sheet name="C2" sheetId="3" r:id="rId4"/>
    <sheet name="C3" sheetId="4" r:id="rId5"/>
    <sheet name="C4" sheetId="5" r:id="rId6"/>
    <sheet name="C5" sheetId="6" r:id="rId7"/>
    <sheet name="Summary" sheetId="7" r:id="rId8"/>
  </sheets>
  <definedNames>
    <definedName name="_xlnm.Print_Area" localSheetId="2">'C1'!$A$1:$G$44</definedName>
    <definedName name="_xlnm.Print_Area" localSheetId="3">'C2'!$A$1:$G$44</definedName>
    <definedName name="_xlnm.Print_Area" localSheetId="4">'C3'!$A$1:$G$44</definedName>
    <definedName name="_xlnm.Print_Area" localSheetId="5">'C4'!$A$1:$G$45</definedName>
    <definedName name="_xlnm.Print_Area" localSheetId="6">'C5'!$A$1:$G$44</definedName>
    <definedName name="_xlnm.Print_Area" localSheetId="1">Definitions!$A$1:$C$66</definedName>
    <definedName name="_xlnm.Print_Area" localSheetId="0">Instructions!$A$1:$C$40</definedName>
    <definedName name="_xlnm.Print_Area" localSheetId="7">Summary!$A$1:$F$25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1" i="6" l="1" a="1"/>
  <c r="D31" i="6" s="1"/>
  <c r="D9" i="7" s="1"/>
  <c r="D22" i="6" a="1"/>
  <c r="D22" i="6" s="1"/>
  <c r="C9" i="7" s="1"/>
  <c r="D31" i="5" a="1"/>
  <c r="D31" i="5" s="1"/>
  <c r="D8" i="7" s="1"/>
  <c r="D22" i="5" a="1"/>
  <c r="D22" i="5" s="1"/>
  <c r="C8" i="7" s="1"/>
  <c r="D31" i="4" a="1"/>
  <c r="D31" i="4" s="1"/>
  <c r="D7" i="7" s="1"/>
  <c r="D22" i="4" a="1"/>
  <c r="D22" i="4" s="1"/>
  <c r="C7" i="7" s="1"/>
  <c r="D31" i="3" a="1"/>
  <c r="D31" i="3" s="1"/>
  <c r="D6" i="7" s="1"/>
  <c r="D22" i="3" a="1"/>
  <c r="D22" i="3" s="1"/>
  <c r="C6" i="7" s="1"/>
  <c r="D31" i="2" a="1"/>
  <c r="D31" i="2" s="1"/>
  <c r="D5" i="7" s="1"/>
  <c r="D12" i="7" s="1"/>
  <c r="D22" i="2" a="1"/>
  <c r="D22" i="2" s="1"/>
  <c r="C5" i="7" s="1"/>
  <c r="B12"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<sst xmlns="http://schemas.openxmlformats.org/spreadsheetml/2006/main" count="733" uniqueCount="466">
  <si>
    <t>Level</t>
  </si>
  <si>
    <t>Description</t>
  </si>
  <si>
    <t>M1</t>
  </si>
  <si>
    <t>No Reversibility</t>
  </si>
  <si>
    <t>Service not transferable; continuity not guaranteed</t>
  </si>
  <si>
    <t>M2</t>
  </si>
  <si>
    <t>Limited Reversibility</t>
  </si>
  <si>
    <t>M3</t>
  </si>
  <si>
    <t>Open Standards Partial</t>
  </si>
  <si>
    <t>M4</t>
  </si>
  <si>
    <t>M5</t>
  </si>
  <si>
    <t>Not Effective</t>
  </si>
  <si>
    <t>Control has never been tested or operated</t>
  </si>
  <si>
    <t>E1</t>
  </si>
  <si>
    <t>Partially Effective</t>
  </si>
  <si>
    <t>Control exists but untested or incomplete</t>
  </si>
  <si>
    <t>E2</t>
  </si>
  <si>
    <t>Largely Effective</t>
  </si>
  <si>
    <t>Control demonstrated with minor gaps</t>
  </si>
  <si>
    <t>E3</t>
  </si>
  <si>
    <t>Fully Effective</t>
  </si>
  <si>
    <t>Control fully demonstrated and independently verified</t>
  </si>
  <si>
    <t>#</t>
  </si>
  <si>
    <t>Audit Question</t>
  </si>
  <si>
    <t>Notes</t>
  </si>
  <si>
    <t>Does a formally approved, version-controlled exit plan document exist for this cloud service?</t>
  </si>
  <si>
    <t>Does the cloud service contract contain explicit exit rights, including data export rights, provider transition assistance obligation, and absence of punitive egress fees at termination?</t>
  </si>
  <si>
    <t>Is a Recovery Time Objective (RTO) for the exit scenario formally defined and approved by the CIO or equivalent authority?</t>
  </si>
  <si>
    <t>Does the exit plan identify at least two credible alternative providers (including at least one EU-domiciled alternative) with a documented compatibility assessment?</t>
  </si>
  <si>
    <t>Does the exit plan have a named owner (by role), a defined review cycle, and evidence of at least one review within the past 24 months?</t>
  </si>
  <si>
    <t>Instructions: Tick (✓) the HIGHEST level at which ALL criteria are fully satisfied. Levels are CUMULATIVE.</t>
  </si>
  <si>
    <t>Definition</t>
  </si>
  <si>
    <t>Criteria (cumulative)</t>
  </si>
  <si>
    <t>Reached (✓)</t>
  </si>
  <si>
    <t>Contractual Reversibility</t>
  </si>
  <si>
    <t>DESIGN MATURITY CONCLUSION</t>
  </si>
  <si>
    <t>Maturity Level Assigned:</t>
  </si>
  <si>
    <t>Rationale / Finding:</t>
  </si>
  <si>
    <t>Instructions: Assess whether the designed control operated as intended during the audit period.</t>
  </si>
  <si>
    <t>Audit Procedure</t>
  </si>
  <si>
    <t>EFFECTIVENESS CONCLUSION</t>
  </si>
  <si>
    <t>Effectiveness Level Assigned:</t>
  </si>
  <si>
    <t>Control 2: Data Portability and Technical Exportability</t>
  </si>
  <si>
    <t>No Portability</t>
  </si>
  <si>
    <t>All Open Standards</t>
  </si>
  <si>
    <t>Maximum Portability</t>
  </si>
  <si>
    <t>Control 3: Knowledge Transfer and Operational Documentation</t>
  </si>
  <si>
    <t>Are operational runbooks available for all routine and non-routine procedures (deployment, scaling, backup, recovery, incident response) in sufficient detail for a competent engineer unfamiliar with the environment to execute them?</t>
  </si>
  <si>
    <t>No Documentation</t>
  </si>
  <si>
    <t>Limited Documentation</t>
  </si>
  <si>
    <t>Basic Documentation</t>
  </si>
  <si>
    <t>Sufficient Documentation</t>
  </si>
  <si>
    <t>Comprehensive Documentation</t>
  </si>
  <si>
    <t>Control 4: Continuity of Operations During Migration</t>
  </si>
  <si>
    <t>No Continuity Plan</t>
  </si>
  <si>
    <t>Control 5: Testing Programme and Periodic Evaluation</t>
  </si>
  <si>
    <t>Ad Hoc Testing</t>
  </si>
  <si>
    <t>Annual Tabletop</t>
  </si>
  <si>
    <t>Full Test Programme</t>
  </si>
  <si>
    <t>Comprehensively Tested</t>
  </si>
  <si>
    <t>Control Area</t>
  </si>
  <si>
    <t>Design Maturity</t>
  </si>
  <si>
    <t>Operating Effectiveness</t>
  </si>
  <si>
    <t>Key Finding</t>
  </si>
  <si>
    <t>Recommendations</t>
  </si>
  <si>
    <t>Exit Plan and Contractual Framework</t>
  </si>
  <si>
    <t>Data Portability and Technical Exportability</t>
  </si>
  <si>
    <t>Knowledge Transfer and Operational Documentation</t>
  </si>
  <si>
    <t>Continuity of Operations During Migration</t>
  </si>
  <si>
    <t>Testing Programme and Periodic Evaluation</t>
  </si>
  <si>
    <t>Average Design Maturity:</t>
  </si>
  <si>
    <t>Average Operating Effectiveness:</t>
  </si>
  <si>
    <t>E4</t>
  </si>
  <si>
    <t>Designation</t>
  </si>
  <si>
    <t>Active Reversibility</t>
  </si>
  <si>
    <t>Full Operational Reversibility</t>
  </si>
  <si>
    <t>Active reversibility: The service is fully transferable; documentation and design are sufficiently detailed to enable a third party to independently operate the service.</t>
  </si>
  <si>
    <t>Full operational reversibility: The service is fully transferable; documentation and design are sufficiently detailed and tested to enable a third party to independently operate the service.</t>
  </si>
  <si>
    <t>Technology Domain: Operational Reversibility | Exit Strategy and Reversibility  |  Version 1.1</t>
  </si>
  <si>
    <t>Assesses whether the control is designed to achieve its objective. The question is: if this control operates exactly as written, would it mitigate the risk?</t>
  </si>
  <si>
    <t>Assesses whether the designed control operated as intended during the audit period. The question is: did the control work in practice?</t>
  </si>
  <si>
    <t>No reversibility: The service is not transferable; continuity in the event of provider failure is not guaranteed.</t>
  </si>
  <si>
    <t>Framework Origin</t>
  </si>
  <si>
    <t>Control 1:  Exit plan and contractual exit framework</t>
  </si>
  <si>
    <t>Risk</t>
  </si>
  <si>
    <t>Objective</t>
  </si>
  <si>
    <t>Sovereignty link</t>
  </si>
  <si>
    <t>Service not transferable; continuity upon provider failure not guaranteed.</t>
  </si>
  <si>
    <t>Documentation is limited; transfer to a third party is complex and not fully possible.</t>
  </si>
  <si>
    <t>Suggested Evidence to Provide</t>
  </si>
  <si>
    <t>→ Absence of a named exit plan document confirms
M1. If no evidence is produced, this level applies by default.</t>
  </si>
  <si>
    <t>Service largely transferable; high-level documentation available for a third party to operate the service in due course.</t>
  </si>
  <si>
    <t>Yes/No</t>
  </si>
  <si>
    <t>Audit Guidance</t>
  </si>
  <si>
    <t>1. No exit plan exists in any form.
2. No contractual exit rights in the service agreement.
3. No consideration has been given to what happens if the provider fails.</t>
  </si>
  <si>
    <t>1. Cumulative: all M2 criteria satisfied, PLUS:
2. Exit plan is formally approved by an appropriate authority (minimum: IT Director or CIO).
3. Contract contains explicit exit rights including data export right, no punitive egress fees, and minimum transition assistance obligation.
4. RTO for the exit scenario is defined (though may not yet be tested or validated).</t>
  </si>
  <si>
    <t>Service fully transferable; documentation sufficiently detailed for a third party to operate the service independently.</t>
  </si>
  <si>
    <t>1. Cumulative: all M3 criteria satisfied, PLUS:
2. Exit plan is detailed and current (reviewed within 12 months), containing: migration phases, phase-gate criteria, parallel operation period, data synchronization approach, and rollback trigger conditions.
3. At least two credible alternatives identified with compatibility assessment; at least one EU-domiciled alternative.
4. Named owner by role; formal review cycle defined and evidenced.
5. RTO has been validated against the business impact analysis of the relevant cloud service.</t>
  </si>
  <si>
    <t>→ Exit plan with review date within 12 months, phase diagram, and gate criteria.
→ Alternative provider assessment document with EU jurisdiction confirmation.
→ Business Impact Analysis linking RTO to criticality of service.
→ Owner assignment and review cycle record.</t>
  </si>
  <si>
    <t>→ Tabletop exercise report: date, scenario (must include
unplanned trigger), participants, findings, remediation.
→ Pre-qualification documentation or standby contract with
alternative EU provider.
→ Independent review or internal audit report on exit plan adequacy.</t>
  </si>
  <si>
    <t>Service fully transferable; documentation sufficiently detailed and tested for a third party to operate independently.</t>
  </si>
  <si>
    <t>1. Cumulative: all M4 criteria satisfied, PLUS:
2. Exit plan has been validated through at least a structured tabletop exercise simulating an unplanned exit trigger (provider insolvency, sanctions, or non-EU acquisition).
3. At least one alternative provider is pre-qualified or has a contract on standby.
4. Exit plan and RTO reviewed or independently assessed within 12 months.</t>
  </si>
  <si>
    <t>1. Exit plan exists on paper only.
2. Plan has never been operationally referenced or tested.
3. Contractual exit rights unverified.</t>
  </si>
  <si>
    <t>1. Inspect exit plan currency and formal approval.
2. Interview exit plan owner: can they explain the plan without looking at it?
3. Check contract for exit rights clause.</t>
  </si>
  <si>
    <t>1. Exit plan reviewed within 24 months.
2. Contractual exit rights confirmed current.
3. RTO approved by CIO.
4. Alternative providers identified.</t>
  </si>
  <si>
    <t>1. Review evidence of last plan update and approval.
2. Confirm contractual exit rights are still valid.
3. Interview exit plan owner on RTO rationale and plan awareness.</t>
  </si>
  <si>
    <t>Plan is maintained but has never been tested.
This is the most common state.
Document as observation and recommend tabletop exercise as priority action.</t>
  </si>
  <si>
    <t>1. Exit plan reviewed within 12 months.
2. Tabletop exercise conducted within 24 months.
3. Findings from exercise addressed and documented.</t>
  </si>
  <si>
    <t>1. Review live exercise documentation or partial migration test evidence.
2. Verify pre-qualification or standby contract with alternative EU provider.
3. Confirm all findings from prior exercises are closed.</t>
  </si>
  <si>
    <t>OPERATING EFFECTIVENESS CONCLUSION</t>
  </si>
  <si>
    <t xml:space="preserve">If data cannot be exported in a usable format, exit is technically impossible even when contractually permitted. Proprietary formats, excessive egress fees, and missing export tooling create a 'data gravity trap'. EuroStack (2025) identifies punitive egress fees as 'strategic barriers that prevent a competitive European market.' </t>
  </si>
  <si>
    <t>Verify that all data, primary data, backups, configurations, metadata, and logs, can be exported at any time in open, non-proprietary formats at proportionate cost, and that export procedures are documented and tested.</t>
  </si>
  <si>
    <t xml:space="preserve">Technology Sovereignty (DICTU 3.1, Interoperability &amp; Portability) | EuroStack Criterion 2.1 (data portability, no punitive egress fees) | GDPR Art. 20 (personal data portability) </t>
  </si>
  <si>
    <t xml:space="preserve">Can the organization demonstrate that all primary production data types can be exported in open, non-proprietary formats (e.g. CSV, JSON, Parquet, XML, OVA/OVF) without requiring provider-specific tooling to read the output? </t>
  </si>
  <si>
    <t>Does the cloud service contract explicitly prohibit punitive egress fees at contract termination, and does the cost modelling for exporting current data volumes at termination confirm fees are proportionate to actual transfer costs?</t>
  </si>
  <si>
    <t>Are Infrastructure-as-Code (IaC) artefacts for all production infrastructure stored in an organization-controlled version control repository, not solely in provider-managed systems?</t>
  </si>
  <si>
    <t xml:space="preserve">Are backup copies and disaster recovery replicas exportable with the same open format and portability standard as primary data, and is this verified through separate backup export testing? </t>
  </si>
  <si>
    <t>Has the organization conducted an end-to-end export test, including import validation in an alternative environment, for all primary data types within the past 24 months?</t>
  </si>
  <si>
    <t xml:space="preserve"> Limited Portability</t>
  </si>
  <si>
    <t xml:space="preserve"> Not Effective</t>
  </si>
  <si>
    <t>Service fully proprietary; migration of data and workloads not possible without significant effort or cost.</t>
  </si>
  <si>
    <t>1. Data stored exclusively in proprietary provider formats with no open export mechanism.
2. Egress fees are prohibitive, or the organization has not assessed the termination cost.
3. No IaC exists; infrastructure configurations are undocumented or stored only in provider consoles.</t>
  </si>
  <si>
    <t>→ Provider documentation showing only proprietary formats, or the organization cannot provide any export format specification.</t>
  </si>
  <si>
    <t>Partial openness; migration is limited and requires significant effort.</t>
  </si>
  <si>
    <t>→ Contract or DPA section listing available export formats.
→ Data inventory showing which data types have open export and which do not.</t>
  </si>
  <si>
    <t>Open standards widely used but not for all components; portability partially limited.</t>
  </si>
  <si>
    <t>1. Cumulative: M2 satisfied, PLUS:
2. All primary data types have a documented open format export option.
3. Contract confirms no punitive egress fees at termination.
4. IaC covers at least 50% of production infrastructure components in organization-controlled repositories.
5. Backup export format has been assessed, even if not yet tested.</t>
  </si>
  <si>
    <t>→ Export format specification per data type (contract or technical documentation).
→ Contract clause confirming absence of punitive egress fees.
→ IaC repository location and ownership evidence with coverage percentage estimate.</t>
  </si>
  <si>
    <t>All components use open standards; high portability, not yet fully optimized.</t>
  </si>
  <si>
    <t>1. Cumulative: M3 satisfied, PLUS:
2. IaC coverage exceeds 80% of all production infrastructure components.
3. Export test conducted for all primary data types within 24 months, confirming successful export without provider tooling.
4. Backup and DR replicas confirmed to use the same open format and portability standard as primary data.
5. Data egress cost modelled for a realistic full-exit scenario confirming proportionality.</t>
  </si>
  <si>
    <t>→ IaC coverage report confirming more than 80% (spot-check by auditor recommended).
→ Export test results per data type, dated within 24 months.
→ Backup export test evidence or configuration confirming same standard.
→ Egress cost model for full exit scenario.</t>
  </si>
  <si>
    <t>Most widely used open standards; maximized portability; migration easy and cost-efficient.</t>
  </si>
  <si>
    <t>1. Cumulative: M4 satisfied, PLUS:
2. Full end-to-end export test completed: all data types, backups, metadata, IaC configurations, and logs.
3. Import validation in an alternative environment confirms no data loss and readability without provider tooling.
4. Results independently reviewed or included in internal audit scope.</t>
  </si>
  <si>
    <t>→ Full export test report including all data types, backups, configs, logs.
→ Import validation evidence in alternative environment (not just export success).
→ Independent review record or internal audit finding on portability controls.</t>
  </si>
  <si>
    <t>1. Export has never been tested for any data type.
2. Organization cannot identify data format in use.
3. Egress fees at termination have not been reviewed.</t>
  </si>
  <si>
    <t>1. Request list of data types and their export formats.
2. Attempt walkthrough of export for one minor data type.
3. Review contract for egress fee structure.</t>
  </si>
  <si>
    <t>1. Primary data types confirmed in open format.
2. Some export tests conducted but coverage is incomplete.
3. IaC repository ownership confirmed.</t>
  </si>
  <si>
    <t>1. Review available export test results and note which types are missing.
2. Confirm IaC repository is organization-controlled.
3. Review contract egress fee clause.</t>
  </si>
  <si>
    <t>Partial test coverage does not constitute demonstrated portability. Metadata and logs are frequently the untested gap.</t>
  </si>
  <si>
    <t>1. All primary data types tested for export.
2. Export duration validated against RTO.
3. Backup portability confirmed.</t>
  </si>
  <si>
    <t>1. Review export test results for all data types.
2. Verify duration is within RTO.
3. Perform readability test: attempt to open or parse one exported file using a non-provider tool.</t>
  </si>
  <si>
    <t>1. Full end-to-end export test: all types, backups, IaC, logs.
2. Import validation in alternative environment confirms no data loss.
3. Independent review of portability controls.</t>
  </si>
  <si>
    <t>1. Review full export test report.
2. Confirm import validation in alternative environment (must include at least one critical data type imported and validated).
3. Review independent assessment scope.</t>
  </si>
  <si>
    <t>What the Organization Must Demonstrate</t>
  </si>
  <si>
    <t xml:space="preserve">Tacit knowledge held by a small number of key employees or embedded in provider-specific tooling creates human lock-in as dangerous as technical lock-in. When these people leave, or the provider's specialist knowledge is withdrawn at termination, the organization loses operational capability regardless of data portability. </t>
  </si>
  <si>
    <t xml:space="preserve">Verify that the cloud environment is documented in sufficient detail for a competent but previously uninvolved third party to assume full operational control within the exit RTO, without requiring knowledge transfer from provider personnel. </t>
  </si>
  <si>
    <t xml:space="preserve">Technology Sovereignty (DICTU 3.4 levels 4–5: documentation 'sufficiently detailed for a third party to operate the service independently') | EuroStack Criterion 2.3 | DICTU 5.5.2 (capacity and skills) </t>
  </si>
  <si>
    <t xml:space="preserve">Is the system architecture documented in a current, version-controlled document (reviewed within 12 months) covering: network topology, data flows, integration points, component dependencies, and security architecture, stored in an organization-controlled system? </t>
  </si>
  <si>
    <t xml:space="preserve">Does Infrastructure-as-Code (IaC) cover at least 80% of all production infrastructure components, with artefacts stored in an organization-managed repository and a recent IaC-based deployment confirming the IaC is functional (not merely present)? </t>
  </si>
  <si>
    <t>Has the organization conducted a key person dependency analysis, identified all cloud functions relying on fewer than two individuals, and established a documented remediation plan for each identified dependency?</t>
  </si>
  <si>
    <t>Has the documentation been tested by a party external to the current team, confirming that a competent engineer unfamiliar with the environment can successfully execute a deployment or operational procedure using only the available documentation?</t>
  </si>
  <si>
    <t>1. No current architecture documentation exists.
2. Operations depend entirely on knowledge held by one or two individuals or on provider specialist assistance.
3. IaC coverage below 20%; most infrastructure is manually configured.</t>
  </si>
  <si>
    <t>→ Absence of documentation confirms M1. If the organization cannot produce an architecture document reviewed within 36 months, M1 applies.</t>
  </si>
  <si>
    <t>Documentation limited; transfer to third party complex and not fully possible.</t>
  </si>
  <si>
    <t>→ Architecture document (note: outdated or incomplete documents confirm M2 ceiling).
→ Key person analysis showing unaddressed single-person dependencies.</t>
  </si>
  <si>
    <t>Service largely transferable; high-level documentation available.</t>
  </si>
  <si>
    <t>1. Cumulative: M2 satisfied, PLUS:
2. Architecture document is current (reviewed within 24 months) and covers main components.
3. Basic operational runbooks exist for primary procedures.
4. IaC coverage exceeds 50%.
5. Key persons have been identified and at least partial cross-training is underway.</t>
  </si>
  <si>
    <t>→ Architecture document with review date within 24 months.
→ Runbook list for primary procedures.
→ IaC repository with coverage estimate above 50%.
→ Key person analysis with cross-training progress record.</t>
  </si>
  <si>
    <t>Service fully transferable; documentation sufficiently detailed for a third party to operate independently.</t>
  </si>
  <si>
    <t>1. Cumulative: M3 satisfied, PLUS:
2. Architecture document current (reviewed within 12 months) and comprehensive, covering all components including integrations, security controls, and recovery procedures.
3. IaC coverage exceeds 80%; recent deployment from IaC confirms it is functional.
4. All routine and non-routine procedures are in runbooks.
5. No unaddressed critical single-person dependencies remain.</t>
  </si>
  <si>
    <t>→ Architecture document review date within 12 months; comprehensive scope confirmed.
→ IaC coverage evidence above 80%; recent IaC-based deployment log as proof of function.
→ Runbook index covering all procedures (routine, incident, and disaster recovery).
→ Key person analysis with all critical dependencies addressed.</t>
  </si>
  <si>
    <t>1. Cumulative: M4 satisfied, PLUS:
2. Documentation tested by a party outside the current team: a competent engineer unfamiliar with the environment successfully executed at least one deployment or operational procedure using only the available documentation.
3. Test result is documented with: date, tester (not an author of the documentation), procedure executed, and outcome.</t>
  </si>
  <si>
    <t>→ Documentation test report: tester name and role (must not be an author), date, procedure executed, outcome.
→ Confirmation that tester had no prior knowledge of the specific environment.
→ IaC deployment log from the test run.</t>
  </si>
  <si>
    <t>1. Architecture documentation significantly outdated or absent.
2. Key person dependencies unaddressed.
3. IaC below 50%.</t>
  </si>
  <si>
    <t>1. Documentation current.
2. IaC present with known coverage.
3. Key persons identified with remediation in progress.</t>
  </si>
  <si>
    <t>1. IaC above 80% confirmed.
2. Runbooks cover all critical procedures.
3. No critical single-person dependencies remaining.</t>
  </si>
  <si>
    <t>1. Documentation tested by external or non-authoring party.
2. Deployment successfully executed using only documentation.
3. Test result documented with independence confirmed.</t>
  </si>
  <si>
    <t>IaC coverage claims must be verified by actually opening the repository and checking, not accepted on assertion. 'We have Terraform scripts' is not evidence of 80% coverage.</t>
  </si>
  <si>
    <t>1. Review IaC coverage via repository spot-check; do not accept stated coverage without verification.
2. Verify architecture document review date.
3. Review key person analysis and cross-training records for progress.</t>
  </si>
  <si>
    <t>1. Verify IaC coverage against infrastructure inventory (sample five components).
2. Select three non-routine procedures and verify runbooks exist, are complete, and current.
3. Confirm key person analysis shows no open critical dependencies.</t>
  </si>
  <si>
    <t>1. Review documentation test report, confirm tester is not an author.
2. Verify deployment log from the test run.
3. Confirm tester had no prior knowledge of the specific environment.</t>
  </si>
  <si>
    <t xml:space="preserve">Even when exit plan, portability, and documentation are all adequate, the transition period is a high-risk window: services are partially operational, data is split across old and new environments, and teams must manage both simultaneously. Without a migration continuity plan, exit can trigger a service availability crisis that forces the organization to abort the migration. </t>
  </si>
  <si>
    <t xml:space="preserve">Verify that the exit plan contains a migration continuity plan addressing: migration phases, parallel operation periods, data synchronization protocol, service degradation tolerance, rollback procedure with trigger criteria, and stakeholder communication. </t>
  </si>
  <si>
    <t xml:space="preserve">Operational Sovereignty (DICTU 4 Operational) | NIS2 Art. 21 (business continuity) | DORA Art. 11 (ICT continuity policy) | ISO 22301 §8.5 </t>
  </si>
  <si>
    <t xml:space="preserve">Does the exit plan contain a dedicated migration continuity section with: defined migration phases, services operational at each phase, parallel operation period, data synchronization protocol, and explicit phase-gate criteria for cut-over? </t>
  </si>
  <si>
    <t>Is there a documented data synchronization and integrity protocol specifying: synchronization frequency during migration, integrity check method, change-freeze or dual-write period, and a post-cut-over validation procedure?</t>
  </si>
  <si>
    <t>Does the continuity plan contain a documented rollback procedure with explicit trigger criteria (conditions that activate rollback), step-by-step execution instructions, and an approved rollback RTO?</t>
  </si>
  <si>
    <t>Has the service degradation tolerance for each cloud-hosted service been defined (e.g. read-only mode acceptable for x hours) and validated against contractual SLA obligations and any applicable NIS2 or DORA requirements?</t>
  </si>
  <si>
    <t xml:space="preserve">Does the exit plan include a stakeholder communication plan for the migration period covering: internal stakeholders (IT, Legal, Risk, Board), external stakeholders (customers, supervisors), communication frequency, and escalation path for migration failures? </t>
  </si>
  <si>
    <t>No reversibility; continuity not guaranteed.</t>
  </si>
  <si>
    <t>1. Exit plan contains no continuity section for the migration period.
2. No rollback procedure defined.
3. Service degradation tolerance undefined.</t>
  </si>
  <si>
    <t>→ Absence of continuity section in exit plan confirms M1 for this control.</t>
  </si>
  <si>
    <t>Limited reversibility; transfer is complex.</t>
  </si>
  <si>
    <t>Continuity Acknowledged</t>
  </si>
  <si>
    <t>Basic Plan Defined</t>
  </si>
  <si>
    <t>Detailed and Validated Plan</t>
  </si>
  <si>
    <t>Tested Continuity Plan</t>
  </si>
  <si>
    <t>→ Exit plan section acknowledging continuity risk.
→ High-level rollback mention without procedure details.</t>
  </si>
  <si>
    <t>1. Cumulative: M2 satisfied, PLUS:
2. Migration phases are defined with a phase diagram.
3. Parallel operation period is specified.
4. Data synchronization protocol described at high level.
5. Rollback procedure documented with trigger criteria, even if not yet tested.</t>
  </si>
  <si>
    <t>→ Phase diagram in exit plan.
→ Parallel operation period specification.
→ Data synchronization protocol (can be at high level for M3).
→ Rollback procedure with trigger criteria.</t>
  </si>
  <si>
    <t>Service fully transferable; documentation sufficiently detailed.</t>
  </si>
  <si>
    <t>1. Cumulative: M3 satisfied, PLUS:
2. Data synchronization protocol is detailed (specifying frequency, integrity check method, dual-write or freeze period).
3. Service degradation tolerance formally defined per service and validated against SLAs.
4. Rollback RTO approved by CIO or equivalent.
5. Communication plan completed identifying all stakeholders, channels, and escalation path.</t>
  </si>
  <si>
    <t>→ Detailed synchronization protocol with integrity check procedure.
→ Service degradation tolerance document cross-referenced to SLA schedules.
→ Rollback RTO with CIO approval record.
→ Communication plan with stakeholder list reviewed by all named parties.</t>
  </si>
  <si>
    <t>Service fully transferable; documentation sufficiently detailed and tested.</t>
  </si>
  <si>
    <t>1. Cumulative: M4 satisfied, PLUS:
2. Migration continuity plan validated in a structured exercise; minimum: tabletop with an unplanned trigger scenario.
3. Rollback procedure explicitly tested in the exercise (rollback was activated as part of the scenario).
4. Exercise findings documented and remediated.</t>
  </si>
  <si>
    <t>→ Exercise report with unplanned exit trigger scenario (not only voluntary migration).
→ Confirmation that rollback was activated and executed in the exercise.
→ Findings register with all exercise findings closed or on schedule.</t>
  </si>
  <si>
    <t>1. No continuity section in exit plan.
2. No rollback procedure.
3. Service degradation tolerance not defined.</t>
  </si>
  <si>
    <t>1. Review exit plan for continuity section.
2. Verify rollback procedure exists.
3. Check SLA schedules for degradation tolerance.</t>
  </si>
  <si>
    <t>1. Continuity plan reviewed within 24 months.
2. Rollback procedure documented.
3. SLA cross-check performed.</t>
  </si>
  <si>
    <t>1. Tabletop exercise conducted with unplanned exit trigger.
2. Rollback explicitly tested in exercise.
3. Findings remediated.</t>
  </si>
  <si>
    <t>1. Partial migration test conducted with service continuity maintained throughout.
2. Rollback executed and confirmed functional.
3. Communication plan tested with actual stakeholders.</t>
  </si>
  <si>
    <t>Plan exists and maintained but never tested. The most common state. Priority recommendation: schedule a tabletop exercise with an unplanned scenario.</t>
  </si>
  <si>
    <t>1. Review continuity section currency.
2. Interview continuity plan owner on rollback trigger logic.
3. Verify SLA cross-check evidence.</t>
  </si>
  <si>
    <t>1. Review exercise report; confirm scenario included unplanned trigger.
2. Verify rollback was activated (not merely discussed) in exercise.
3. Confirm findings closure.</t>
  </si>
  <si>
    <t>1. Review partial migration test documentation.
2. Verify rollback was executed and services resumed without data loss.
3. Confirm stakeholder communication test evidence.</t>
  </si>
  <si>
    <t xml:space="preserve">Exit plans and documentation that are created but never tested provide false assurance. Technology, provider terms, and organizational context change continuously. DICTU level 5 explicitly requires documentation that is 'tested'. Without periodic testing, the organization cannot demonstrate that its exit capability is real rather than theoretical. </t>
  </si>
  <si>
    <t xml:space="preserve">Verify that exit capability is subject to a structured, periodic test programme, and that findings from testing result in documented, tracked remediation activities reported to senior management. </t>
  </si>
  <si>
    <t xml:space="preserve">Technology Sovereignty (DICTU 3.4 level 5: 'sufficiently detailed AND TESTED') | EuroStack Criterion 2.3 (tested deployment capability) | ISO 22301 §8.5 (BCM test programme) </t>
  </si>
  <si>
    <t xml:space="preserve"> No Testing</t>
  </si>
  <si>
    <t>Does a documented exit capability test programme exist, specifying: test types (tabletop, data export test, partial migration), test frequency (minimum annual for critical services), responsible parties, scope, and success criteria?</t>
  </si>
  <si>
    <t>Has an annual tabletop exercise specifically testing exit scenarios been conducted, attended by IT, Legal, Compliance, and senior management, with a scenario that includes at least one unplanned exit trigger (provider insolvency, geopolitical sanctions, or non-EU acquisition)?</t>
  </si>
  <si>
    <t>Has a complete or representative data export test, including import validation in an alternative environment, been conducted within the past 24 months, with results documented including data integrity confirmation?</t>
  </si>
  <si>
    <t>Service not transferable; continuity not guaranteed.</t>
  </si>
  <si>
    <t>1. Exit capability has never been tested in any form.
2. No test programme exists.
3. No findings register maintained.</t>
  </si>
  <si>
    <t>→ Absence of any test records confirms M1. If no evidence is produced, this level applies by default.</t>
  </si>
  <si>
    <t>→ Email records or meeting notes mentioning exit scenario discussion (note: informal discussion without documented outcomes confirms M2 at most).</t>
  </si>
  <si>
    <t>1. Cumulative: M2 satisfied, PLUS:
2. A formal test programme document exists specifying test types and frequency.
3. Annual tabletop exercise conducted within the past 12 months.
4. Tabletop scenario included at least one unplanned exit trigger.
5. Exercise findings are documented (data export test not yet conducted).</t>
  </si>
  <si>
    <t>→ Test programme document with frequency and test types.
→ Tabletop exercise report: date, scenario, attendance list, findings.
→ Confirmation that scenario included an unplanned trigger (not only voluntary migration).</t>
  </si>
  <si>
    <t>1. Cumulative: M3 satisfied, PLUS:
2. Data export test conducted within 24 months with import validation.
3. Test findings tracked in findings register with owners and due dates.
4. Findings reported to senior management at least annually.
5. Trigger-based review procedure in place.</t>
  </si>
  <si>
    <t>→ Data export test report with import validation evidence.
→ Findings register showing open and closed items from all test types.
→ Management report or Audit Committee minutes referencing exit capability test results.
→ Trigger-based review procedure document.</t>
  </si>
  <si>
    <t>1. Cumulative: M4 satisfied, PLUS:
2. Partial migration test (or equivalent highest-level exercise) conducted in addition to tabletop and export test.
3. Test programme subject to independent oversight (internal audit or external review).
4. All prior-period findings are closed or have an accepted risk.</t>
  </si>
  <si>
    <t>→ Partial migration test report or equivalent live exercise evidence.
→ Independent oversight record (internal audit scope or external review engagement).
→ Findings register showing all prior-period items closed or risk-accepted with approval.</t>
  </si>
  <si>
    <t>1. No evidence of any exit-related testing in the past 24 months.
2. No test programme document.
3. No findings register.</t>
  </si>
  <si>
    <t>1. Annual tabletop conducted.
2. Findings documented.
3. Remediation incomplete or data export test not yet conducted.</t>
  </si>
  <si>
    <t>1. Tabletop and data export test completed within 24 months.
2. All findings from both tests closed.
3. Annual management reporting evidenced.</t>
  </si>
  <si>
    <t>1. Full programme: tabletop, export test, and partial migration test.
2. Independent oversight of test programme.
3. All prior findings closed.</t>
  </si>
  <si>
    <t>1. Review most recent tabletop report: date, scenario, participants, findings.
2. Check findings register for open items.
3. Verify data export test status.</t>
  </si>
  <si>
    <t>1. Review data export test results including import validation.
2. Confirm all tabletop and export test findings are addressed.
3. Review management report or Audit Committee minutes.</t>
  </si>
  <si>
    <t>1. Review partial migration test documentation.
2. Confirm independent oversight (internal audit scope or external review).
3. Verify all prior-period findings are closed.</t>
  </si>
  <si>
    <t>Confirm the tabletop scenario included an unplanned trigger. A planned migration session labelled as a tabletop exercise does not meet this requirement.</t>
  </si>
  <si>
    <t>Overall Audit Conclusion</t>
  </si>
  <si>
    <t>The overall conclusion is based on the individual conclusions across the five control areas. The assessor applies professional judgement. The decision rules below provide guidance, but do not replace judgement in cases where the situation is atypical.</t>
  </si>
  <si>
    <t>Scoring</t>
  </si>
  <si>
    <t>Overall Conclusion</t>
  </si>
  <si>
    <t>Basis for overall conclusion:</t>
  </si>
  <si>
    <t>Priority recommendations for management:</t>
  </si>
  <si>
    <t>Required follow-up actions (owner and deadline):</t>
  </si>
  <si>
    <t>Part B: Operating Effectiveness (E1–E4)</t>
  </si>
  <si>
    <t>Part B: Operational Effectiveness (E1–E4)</t>
  </si>
  <si>
    <t>Audit Questions</t>
  </si>
  <si>
    <t xml:space="preserve"> Audit Questions</t>
  </si>
  <si>
    <t>This form can be used to assess whether an organization can exit its current cloud provider arrangement without catastrophic loss of continuity, data, or institutional knowledge. The guiding question from the DICTU Toetsingsinstrument (2026, criterion 3.4) is: 'Can a third party take over the service upon provider failure or contract termination, based on available documentation and design?' The EuroStack framework (2025, Criterion 2.3) adds: 'A contractually binding exit plan is mandatory.'</t>
  </si>
  <si>
    <t>The five maturity levels in this form correspond directly to the five DICTU sovereignty levels for Criterion 3.4.
The definitions below are reproduced verbatim. Source: DICTU Toetsingsinstrument Soevereiniteit Clouddiensten v1.0.1 (January 2026), p. 20.</t>
  </si>
  <si>
    <t>Although presented here in generic form, the definitions of these levels have been further specified per norm and subdimension in the remainder of this document, providing additional context to make them more relevant and applicable to each specific assessment area.</t>
  </si>
  <si>
    <t>The sovereignty dimensions, control objectives, and structure of this framework are derived from DICTU, relevant ISO standards, the EuroStack Buy European Framework, and broader sovereignty frameworks. These sources have been consolidated and operationalized into auditable control language tailored to IT auditing in the context of operational reversibility.</t>
  </si>
  <si>
    <t>Limited reversibility: Documentation is available to a limited extent, but transferring to a third party is complex and not fully feasible.</t>
  </si>
  <si>
    <t>Contractual reversibility: The service is largely transferable; documentation and design are available at a high level to enable a third party to independently operate the service over time.</t>
  </si>
  <si>
    <t>1. Review tabletop exercise report: scope, scenario, participants, findings.
2. Verify findings register and confirm all items are closed or on schedule.
3. Confirm scenario included an unplanned trigger; planned migration only is insufficient for E3.</t>
  </si>
  <si>
    <t>E3 requires evidence that the plan has been stress-tested, not only
maintained. Unplanned triggers must feature in the scenario.</t>
  </si>
  <si>
    <t>E4 requires demonstrated exit capability, proof of execution, not intent.
An organization that has only conducted tabletop exercises but no live test is at most E3.</t>
  </si>
  <si>
    <t>E3 requires that exported data has been validated as usable, not only that export completed. A file that exports but cannot be opened in a standard tool is a finding.</t>
  </si>
  <si>
    <t>Test documentation completeness: select one infrastructure component and walk through the IaC deployment with a team member who is not the author. Can they execute it? If not, E2 at best.</t>
  </si>
  <si>
    <t>The independence test is the defining criterion for E4: the person who executed the test must not be the person who wrote the documentation. Verify this explicitly.</t>
  </si>
  <si>
    <t>Practical test: ask a senior team member who is not the primary cloud engineer to locate and describe the data flow for a named application. Inability to do so without the primary engineer is a clear E1 indicator.</t>
  </si>
  <si>
    <t>If exit plan has no continuity section, rate E1 for Control 4. This automatically limits the overall conclusion to at most partially effective.</t>
  </si>
  <si>
    <t>E3 requires that rollback was actually activated and tested in the exercise, not only that the scenario mentions rollback as an option. An exercise where rollback was discussed but not executed is E2.</t>
  </si>
  <si>
    <t>E4 requires actual partial migration execution. A tabletop simulation, however thorough, does not constitute E4 for this control.</t>
  </si>
  <si>
    <t>E3 requires both test types: tabletop for governance and decision-making, and data export test for technical validation. One without the other is E2 at most.</t>
  </si>
  <si>
    <t>If no testing has been conducted in the past 24 months, E1 applies regardless of how the design maturity is scored.</t>
  </si>
  <si>
    <t>E4 requires a partial migration test and independent oversight. An organization that has never tested an actual migration cannot claim E4 regardless of how thorough its tabletop exercises are.</t>
  </si>
  <si>
    <t>1. Request test records for exit scenarios over 24 months.
2. If none produced, rate E1.
3. Verify whether test programme document exists.</t>
  </si>
  <si>
    <t>Design Maturity Level</t>
  </si>
  <si>
    <t>Responsible Role (typically accountable for evidence at this level)</t>
  </si>
  <si>
    <t>M1–M2</t>
  </si>
  <si>
    <t>No continuity owner exists at this level. Escalate to Exit Plan Owner / CIO to initiate a migration continuity section.</t>
  </si>
  <si>
    <t>Operating Effectiveness Level</t>
  </si>
  <si>
    <t>Responsible Roles</t>
  </si>
  <si>
    <t>No remediation owner exists at this level. Escalate to Operations Lead to initiate documentation and key-person remediation.</t>
  </si>
  <si>
    <t>No named owner exists at this level. Escalate to Infrastructure/Platform Lead to assess export and IaC posture.</t>
  </si>
  <si>
    <t>No named owner exists at this level (criteria reflect absence). Escalate to IT Director / CIO to initiate an exit plan.</t>
  </si>
  <si>
    <t>No test programme owner exists at this level. Escalate to CIO / Audit Committee to mandate a test programme.</t>
  </si>
  <si>
    <t>Responsible Roles (Testing Programme and Periodic Evaluation)</t>
  </si>
  <si>
    <t>Test Programme Owner:  schedules and reports the annual tabletop exercise (with unplanned trigger) within the past 12 months.</t>
  </si>
  <si>
    <t>Test Programme Owner + Infrastructure Lead: Owner maintains the findings register and trigger-based review procedure; Infrastructure Lead delivers the data export test.</t>
  </si>
  <si>
    <t>Test Programme Owner + Internal Audit: Internal Audit provides independent oversight of the full test programme (tabletop, export test, partial migration).</t>
  </si>
  <si>
    <t>Test Programme Owner: accountable for the existence of any test record within 24 months.</t>
  </si>
  <si>
    <t>Test Programme Owner: accountable for tabletop scenario design (must include an unplanned trigger) and findings tracking.</t>
  </si>
  <si>
    <t>Test Programme Owner + Infrastructure Lead: jointly accountable for completing both tabletop and export test with closed findings.</t>
  </si>
  <si>
    <t>Test Programme Owner + Internal Audit: Internal Audit confirms independent oversight; Owner confirms all prior findings closed.</t>
  </si>
  <si>
    <t>Exit Plan Owner + Infrastructure Lead: define migration phases, parallel-operation period, and rollback trigger criteria.</t>
  </si>
  <si>
    <t>Exit Plan Owner + CIO: CIO approves rollback RTO and degradation tolerance vs. SLA; Owner completes the stakeholder communication plan.</t>
  </si>
  <si>
    <t>Exit Plan Owner + exercise participants (IT, Legal, Risk, Board as applicable): exercise rollback under an unplanned trigger scenario.</t>
  </si>
  <si>
    <t>Exit Plan Owner: accountable for the existence of a continuity section; absence caps the overall conclusion (Rule 1 / Summary tab).</t>
  </si>
  <si>
    <t>Exit Plan Owner: accountable for continuity plan currency and SLA cross-check.</t>
  </si>
  <si>
    <t>Exit Plan Owner + exercise participants: accountable for rollback activation (not only discussion) during the exercise.</t>
  </si>
  <si>
    <t>Exit Plan Owner + Operations Lead: jointly accountable for executing and confirming a partial migration test.</t>
  </si>
  <si>
    <t>Operations Lead: owns architecture documentation currency and cross-training progress for key persons.</t>
  </si>
  <si>
    <t>Operations Lead + Engineering Manager: Operations Lead maintains comprehensive documentation and runbooks; Engineering Manager closes critical single-person dependencies.</t>
  </si>
  <si>
    <t>Operations Lead + independent/non-authoring tester: tester (not a documentation author) executes the independence test; Operations Lead records the outcome.</t>
  </si>
  <si>
    <t>Operations Lead: accountable for architecture currency; a non-primary engineer is interviewed for the practical test.</t>
  </si>
  <si>
    <t>Operations Lead: accountable for verified (not asserted) IaC coverage and cross-training records.</t>
  </si>
  <si>
    <t>Operations Lead: accountable for runbook completeness and closure of critical dependencies (sample-verified).</t>
  </si>
  <si>
    <t>Independent/non-authoring tester + Operations Lead: tester executes the deployment; Operations Lead confirms tester independence.</t>
  </si>
  <si>
    <t>Infrastructure/Platform Lead: owns IaC repository and data export format documentation (&gt;50% coverage).</t>
  </si>
  <si>
    <t>Infrastructure/Platform Lead + Data Owner: Infrastructure Lead delivers IaC coverage &gt;80% and export tests; Data Owner confirms backup/DR parity.</t>
  </si>
  <si>
    <t>Infrastructure/Platform Lead + Internal Audit: Infrastructure Lead executes full export/import test; Internal Audit reviews results.</t>
  </si>
  <si>
    <t>Infrastructure/Platform Lead: accountable for identifying data formats in use.</t>
  </si>
  <si>
    <t>Infrastructure/Platform Lead: accountable for closing untested data types (commonly metadata/logs).</t>
  </si>
  <si>
    <t>Infrastructure/Platform Lead: accountable for RTO-aligned export duration and readability testing.</t>
  </si>
  <si>
    <t>Infrastructure/Platform Lead + Internal Audit: Internal Audit reviews import validation evidence.</t>
  </si>
  <si>
    <t>IT Director or CIO: approves the exit plan and the RTO (minimum approval authority per criteria).</t>
  </si>
  <si>
    <t>Named exit plan owner (by role) + CIO: owner maintains the plan and review cycle; CIO validates RTO against business impact analysis.</t>
  </si>
  <si>
    <t>Named exit plan owner + CIO + Internal Audit: exercise participants per the tabletop scenario; Internal Audit performs the independent review.</t>
  </si>
  <si>
    <t>Exit plan owner: accountable for plan currency and RTO awareness.</t>
  </si>
  <si>
    <t>Exit plan owner + tabletop exercise participants (IT, Legal, Compliance as applicable): accountable for findings remediation.</t>
  </si>
  <si>
    <t>Exit plan owner + CIO: CIO confirms pre-qualification/standby contract; owner closes prior findings.</t>
  </si>
  <si>
    <t>Step-by-Step Workflow</t>
  </si>
  <si>
    <t>Note: a level applies only if every cumulative criterion at that level is satisfied. If evidence is missing, ambiguous, or the situation is atypical, apply professional judgement and document the rationale rather than forcing a score.</t>
  </si>
  <si>
    <t>Step 1</t>
  </si>
  <si>
    <t>Step 2</t>
  </si>
  <si>
    <t>Step 3</t>
  </si>
  <si>
    <t>Step 4</t>
  </si>
  <si>
    <t>Step 5</t>
  </si>
  <si>
    <t>Step 6</t>
  </si>
  <si>
    <t>Step 7</t>
  </si>
  <si>
    <t>Read the control area. For each of the five control areas (C1-C5), read the Risk, Objective, and Sovereignty Link at the top of the sheet before starting the audit questions, to understand what is being tested and why.</t>
  </si>
  <si>
    <t>Answer the Audit Questions. Work through the numbered Yes/No questions for that control area. These define the minimum evidence the auditor must request and review; they do not yet determine a score.</t>
  </si>
  <si>
    <t>Score Part B (Operating Effectiveness, E1-E4). Independently of Part A, assess whether the control has actually been demonstrated in practice (tested, exercised, executed), not only designed. Part A and Part B scores are never averaged together.</t>
  </si>
  <si>
    <t>Document the conclusion and ownership. Complete the Maturity/Effectiveness Level Assigned fields and the Rationale/Finding box, and identify the responsible role for follow-up using the Responsible Role table on each control sheet.</t>
  </si>
  <si>
    <t>Repeat for all five control areas, then complete the Summary tab. Enter the assigned Design Maturity (M1-M5) and Operating Effectiveness (E1-E4) level for each control area; the average scores and decision-rule outcome are calculated automatically.</t>
  </si>
  <si>
    <t>Record the overall conclusion. Use the Decision Rules on the Summary tab as guidance, document the basis for the overall conclusion, and list priority recommendations with named owners and deadlines.</t>
  </si>
  <si>
    <t>Score Part A (Design Maturity, M1-M5). Starting from M1, check whether ALL criteria at each level are satisfied, moving upward. Tick the HIGHEST level for which every cumulative criterion is met. Evidence listed is suggested, not mandatory; document your rationale if alternative evidence was used.</t>
  </si>
  <si>
    <t>Part A: Design Maturity (M1–M5)</t>
  </si>
  <si>
    <t>The form covers all five control areas. The audit questions (the numbered Yes/No questions) are the starting point: they define what the auditor must verify. All five control areas are assessed on two dimensions: design maturity (whether the control is designed to achieve its objective) and operating effectiveness (whether the designed control actually operated as intended during the audit period).</t>
  </si>
  <si>
    <t>Verify that a formally approved, contractually supported exit plan exists enabling an orderly transition to an alternative provider within a defined Recovery Time Objective (RTO).</t>
  </si>
  <si>
    <t>Control 1 at M1 or E1</t>
  </si>
  <si>
    <t>Any control at M1 + E1</t>
  </si>
  <si>
    <t>All M2+/E2+, but Control 5 at M1 or E1</t>
  </si>
  <si>
    <t>All controls M3+/E3+</t>
  </si>
  <si>
    <t>All controls M5/E4</t>
  </si>
  <si>
    <t>Decision Guidelines</t>
  </si>
  <si>
    <t>These are guidelines to support the auditor's professional judgement, not mechanical pass/fail rules. Where a situation does not fit neatly into one category, the auditor applies judgement and documents the rationale for the conclusion reached.</t>
  </si>
  <si>
    <t>Guideline 1</t>
  </si>
  <si>
    <t>Guideline 2</t>
  </si>
  <si>
    <t>Guideline 3</t>
  </si>
  <si>
    <t>Guideline 4</t>
  </si>
  <si>
    <t>Guideline 5</t>
  </si>
  <si>
    <t>If any single control is at M1 and E1, both design and operating evidence are effectively absent for that area. This generally points to Not Effective overall, unless the auditor can justify why the gap is not material to reversibility.</t>
  </si>
  <si>
    <t>Where controls are broadly adequate (M2+/E2+) but the testing programme (Control 5) lags at M1 or E1, reversibility is designed but not yet confirmed in practice. Partially Effective is usually appropriate; consider recommending testing as the priority action.</t>
  </si>
  <si>
    <t>If all five controls reach at least M3 in design and E3 in operation, exit capability is both designed to a contractual standard and operationally demonstrated. The auditor can generally conclude Effective, absent specific countervailing evidence.</t>
  </si>
  <si>
    <t>Reserve Fully Effective for cases where every control reaches M5 and E4, maximum operational reversibility (DICTU Level 5). Expect this to be supported by tested evidence across all controls.</t>
  </si>
  <si>
    <t>How to Use This Form</t>
  </si>
  <si>
    <t>Definitions and Key Terms</t>
  </si>
  <si>
    <t>Framework &amp; Sources</t>
  </si>
  <si>
    <t>Digital Sovereignty Audit Framework (DSAF)</t>
  </si>
  <si>
    <t>The structured audit framework used in this workbook to assess whether an organisation can exit a cloud provider without catastrophic loss of continuity, data, or institutional knowledge. It covers five control areas, each scored on design and operating effectiveness.</t>
  </si>
  <si>
    <t>Operational Reversibility</t>
  </si>
  <si>
    <t>The capacity to transfer a cloud service to another provider (or bring it back in-house) in an orderly way, so continuity is maintained on provider failure or contract termination. The central theme this framework assesses.</t>
  </si>
  <si>
    <t>Digital Sovereignty</t>
  </si>
  <si>
    <t>The degree of control an organisation retains over its data, systems, and technology choices, including the ability to change provider without undue dependence. 'Technology Sovereignty' is the specific DICTU dimension (3.4) on reversibility.</t>
  </si>
  <si>
    <t>DICTU</t>
  </si>
  <si>
    <t>The Dutch government's shared ICT service organisation. Its assessment instrument for cloud sovereignty provides the maturity levels and criteria on which this framework is based.</t>
  </si>
  <si>
    <t>DICTU Toetsingsinstrument</t>
  </si>
  <si>
    <t>The DICTU 'Toetsingsinstrument Soevereiniteit Clouddiensten' (assessment instrument for cloud-service sovereignty). Criterion 3.4 and its five sovereignty levels underpin the design-maturity scale used here.</t>
  </si>
  <si>
    <t>EuroStack (Buy European Framework)</t>
  </si>
  <si>
    <t>A European framework promoting digital autonomy and use of European infrastructure. Its Criterion 2.3 ('a contractually binding exit plan is mandatory') is referenced as a sovereignty requirement in this framework.</t>
  </si>
  <si>
    <t>The field at the top of each control sheet that maps the control to the underlying sovereignty requirement (e.g. DICTU 3.4, EuroStack 2.3), showing why the control matters.</t>
  </si>
  <si>
    <t>Assessment Structure</t>
  </si>
  <si>
    <t>Control area</t>
  </si>
  <si>
    <t>One of the five themes assessed (C1–C5): Exit Plan, Data Portability, Knowledge Transfer, Continuity of Operations, and Testing Programme. Each has its own sheet.</t>
  </si>
  <si>
    <t>Audit question</t>
  </si>
  <si>
    <t>A numbered Yes/No question (e.g. 1.1, 1.2) defining what the auditor must verify for a control. The starting point of the assessment.</t>
  </si>
  <si>
    <t>Design Effectiveness (Maturity)</t>
  </si>
  <si>
    <t>Maturity level (M1–M5)</t>
  </si>
  <si>
    <t>The design-effectiveness rating. Levels are cumulative: a higher level requires all lower-level criteria to be met. The auditor ticks the highest fully satisfied level.</t>
  </si>
  <si>
    <t>Effectiveness level (E1–E4)</t>
  </si>
  <si>
    <t>The operating-effectiveness rating, from Not Effective (E1) to Fully Effective (E4), based on evidence that the control operated during the period.</t>
  </si>
  <si>
    <t>Cumulative</t>
  </si>
  <si>
    <t>A scoring principle: a given level can only be assigned if all criteria of every lower level are also satisfied.</t>
  </si>
  <si>
    <t>The service is not transferable; continuity on provider failure is not guaranteed.</t>
  </si>
  <si>
    <t>Documentation exists to a limited extent, but transfer to a third party is complex and not fully feasible.</t>
  </si>
  <si>
    <t>The service is largely transferable; documentation and design are available at a high level for a third party to operate it over time.</t>
  </si>
  <si>
    <t>The service is fully transferable; documentation and design are detailed enough for a third party to operate it independently.</t>
  </si>
  <si>
    <t>As M4, and the documentation and design have been tested, confirming a third party can independently operate the service.</t>
  </si>
  <si>
    <t>The control has never been tested or operated; evidence of operation is absent.</t>
  </si>
  <si>
    <t>The control exists but is untested or incomplete in operation.</t>
  </si>
  <si>
    <t>The control has been demonstrated to operate, with only minor gaps.</t>
  </si>
  <si>
    <t>The control is fully demonstrated and independently verified.</t>
  </si>
  <si>
    <t>Exit &amp; Continuity</t>
  </si>
  <si>
    <t>Exit plan</t>
  </si>
  <si>
    <t>A formally approved, contractually supported plan enabling an orderly transition to an alternative provider within a defined RTO. The prerequisite control (C1).</t>
  </si>
  <si>
    <t>Vendor lock-in</t>
  </si>
  <si>
    <t>Dependence on a single provider that makes leaving prohibitively difficult or costly. Without an exit plan it is a certain outcome rather than a risk.</t>
  </si>
  <si>
    <t>RTO (Recovery Time Objective)</t>
  </si>
  <si>
    <t>The maximum acceptable time to restore the service with an alternative provider in an exit scenario; should be formally defined and approved.</t>
  </si>
  <si>
    <t>Rollback</t>
  </si>
  <si>
    <t>A defined procedure to revert to the original provider or state if a migration fails, including trigger criteria and execution steps.</t>
  </si>
  <si>
    <t>Parallel operation period</t>
  </si>
  <si>
    <t>A phase during migration in which old and new environments run simultaneously to safeguard continuity before cut-over.</t>
  </si>
  <si>
    <t>Business Impact Analysis (BIA)</t>
  </si>
  <si>
    <t>An assessment of how critical a service is to the organisation, used to validate that the RTO matches the service's importance.</t>
  </si>
  <si>
    <t>Service Level Agreement (SLA)</t>
  </si>
  <si>
    <t>The contracted service performance levels; cross-checked to ensure continuity and degradation tolerance are maintained during migration.</t>
  </si>
  <si>
    <t>Service degradation tolerance</t>
  </si>
  <si>
    <t>The level of reduced service the organisation can accept during a migration, defined per service and validated against SLAs.</t>
  </si>
  <si>
    <t>Data &amp; Technical Portability</t>
  </si>
  <si>
    <t>Data portability</t>
  </si>
  <si>
    <t>Open standard / open format</t>
  </si>
  <si>
    <t>A non-proprietary, publicly documented data or interface format that a third party can read and process without the original provider's tooling.</t>
  </si>
  <si>
    <t>Egress fees</t>
  </si>
  <si>
    <t>Charges levied by a provider for extracting data out of its platform; punitive egress fees can make exit economically prohibitive.</t>
  </si>
  <si>
    <t>Infrastructure as Code (IaC)</t>
  </si>
  <si>
    <t>Infrastructure defined and managed through version-controlled code (e.g. Terraform), enabling reproducible deployment elsewhere. Coverage % indicates how much of production is captured.</t>
  </si>
  <si>
    <t>Runbook</t>
  </si>
  <si>
    <t>Documented step-by-step operational procedures enabling someone other than the original engineer to run or recover the service.</t>
  </si>
  <si>
    <t>Key person dependency</t>
  </si>
  <si>
    <t>A situation where operation relies on knowledge held by one or few individuals, creating risk if they become unavailable.</t>
  </si>
  <si>
    <t>Disaster Recovery (DR)</t>
  </si>
  <si>
    <t>Arrangements (including backups and replicas) for restoring service after a major failure; their portability and format are assessed for exit readiness.</t>
  </si>
  <si>
    <t>Import validation</t>
  </si>
  <si>
    <t>Testing &amp; Assurance</t>
  </si>
  <si>
    <t>Tabletop exercise</t>
  </si>
  <si>
    <t>A structured, discussion-based simulation of an exit scenario to test the plan without live migration; must include an unplanned trigger to count.</t>
  </si>
  <si>
    <t>Unplanned (exit) trigger</t>
  </si>
  <si>
    <t>Partial migration test</t>
  </si>
  <si>
    <t>A live test that actually migrates part of the service to an alternative environment while maintaining continuity, providing proof of execution.</t>
  </si>
  <si>
    <t>Live exercise</t>
  </si>
  <si>
    <t>Any real (non-simulated) execution of exit or migration steps, demonstrating capability beyond intent.</t>
  </si>
  <si>
    <t>Findings register</t>
  </si>
  <si>
    <t>A log of issues identified in tests or exercises, with owners and due dates, used to track remediation to closure.</t>
  </si>
  <si>
    <t>Independent oversight / independence test</t>
  </si>
  <si>
    <t>Roles &amp; Documents</t>
  </si>
  <si>
    <t>CIO (Chief Information Officer)</t>
  </si>
  <si>
    <t>The senior executive who, in this framework, is the minimum authority for approving the exit plan and the RTO.</t>
  </si>
  <si>
    <t>IT Director</t>
  </si>
  <si>
    <t>An alternative minimum approval authority for the exit plan where a CIO role is not present.</t>
  </si>
  <si>
    <t>Data Processing Agreement (DPA)</t>
  </si>
  <si>
    <t>The contractual agreement governing data handling with the provider; often where exit rights, export rights, and egress terms are recorded.</t>
  </si>
  <si>
    <t>→ Exit plan with approval record, dated within 24 months.
→ Contract or DPA section confirming explicit exit rights and no punitive egress fees.
→ RTO definition document or section in exit plan approved by CIO.</t>
  </si>
  <si>
    <t>If the exit plan has not been reviewed in 24 months or key stakeholders are unaware of it, rate E1 regardless of maturity score.</t>
  </si>
  <si>
    <t>Exit plan owner (if named): interviewed to assess awareness; escalate to CIO if plan is unreviewed beyond 24 months.</t>
  </si>
  <si>
    <t>Quantitative tresholds (e.g. Infrastructure-as-Code (IaC) coverage, review intervals) are design choices that make the quantitative DICTU maturity levels measurable.</t>
  </si>
  <si>
    <t>1. Exit plan tested via live exercise or partial migration.
2. Alternative provider pre-qualified or contracted on standby.
3. All prior exercise findings closed.</t>
  </si>
  <si>
    <t>Technology Sovereignty (DICTU 3.4) | EuroStack Criterion 2.3: 'A contractually binding exit plan is mandatory' | Guiding question: 'Can a third party take over the service upon provider failure or contract termination?'</t>
  </si>
  <si>
    <t>Without a formal exit plan the organization is structurally dependent on the current provider. In the event of forced exit, insolvency, geopolitical sanctions, acquisition by a non-EU entity, the absence of a plan results in operational crisis, uncontrollable data loss, or contractual imprisonment. Vendor lock-in is not a risk in this scenario but a certain outcome.</t>
  </si>
  <si>
    <t>E4 requires import validation in a target environment. 'Export ran successfully' without import validation is at most E3.</t>
  </si>
  <si>
    <t>If no export test has been conducted and the organization cannot explain what format their data is in, rate E1 regardless of contractual claims.</t>
  </si>
  <si>
    <t>1. Inspect architecture document version date.
2. Request IaC repository and spot-check coverage.
3. Ask two non-primary cloud engineers to explain the architecture; if they cannot, documentation is insufficient.</t>
  </si>
  <si>
    <t>Is there a procedure for trigger-based review of the exit plan upon material changes (new service onboarded, contract renewal, major data volume increase, regulatory change, geopolitical development affecting the provider), and has at least one trigger-based review taken place in the past 24 months if triggers have occurred?</t>
  </si>
  <si>
    <t>Is a findings register maintained for all exit-related testing, with named owners and due dates, and are findings reported to senior management or the Audit Committee at least annually?</t>
  </si>
  <si>
    <t>1. Cumulative: the organization has progressed beyond M1 (the M1 absence conditions no longer apply), PLUS:
2. An exit plan document exists in some form (draft, informal note, or process document).
3. The plan is significantly outdated (more than 24 months without review) or lacks formal approval.
4. Contractual exit rights are absent or contain terms that make exit economically prohibitive.</t>
  </si>
  <si>
    <t>1. Cumulative: the organization has progressed beyond M1 (the M1 absence conditions no longer apply), PLUS:
2. Export is possible for at least some data types but requires significant provider involvement or re-formatting effort.
3. Some core data types remain in proprietary formats.
4. Egress fees have been reviewed but not modelled for a full exit scenario.</t>
  </si>
  <si>
    <t>1. Cumulative: the organization has progressed beyond M1 (the M1 absence conditions no longer apply), PLUS:
2. Some documentation exists but is significantly outdated (not reviewed in 24 or more months) or covers only parts of the environment.
3. Multiple key person dependencies exist without a remediation plan.
4. IaC coverage between 20 and 50%.</t>
  </si>
  <si>
    <t>1. Cumulative: the organization has progressed beyond M1 (the M1 absence conditions no longer apply), PLUS:
2. Migration continuity is acknowledged as a risk in the exit plan but no detailed plan exists.
3. Rollback is mentioned but not procedurally defined (no trigger criteria, no execution steps).
4. Service degradation not formally assessed.</t>
  </si>
  <si>
    <t>1. Cumulative: the organization has progressed beyond M1 (the M1 absence conditions no longer apply), PLUS:
2. Some informal testing or discussion of exit scenarios has occurred.
3. No structured programme, no documented findings, no remediation tracking.</t>
  </si>
  <si>
    <t>Glossary of terms used in the Digital Sovereignty Audit Framework: Operational Reversibility</t>
  </si>
  <si>
    <t>Maturity Levels (Design, Part A)</t>
  </si>
  <si>
    <t>Effectiveness Levels (Operating, Part B)</t>
  </si>
  <si>
    <t>M1: No Reversibility</t>
  </si>
  <si>
    <t>M2: Limited Reversibility</t>
  </si>
  <si>
    <t>M3: Contractual Reversibility</t>
  </si>
  <si>
    <t>M4: Active Reversibility</t>
  </si>
  <si>
    <t>M5: Full Operational Reversibility</t>
  </si>
  <si>
    <t>E1: Not Effective</t>
  </si>
  <si>
    <t>E2: Partially Effective</t>
  </si>
  <si>
    <t>E3: Largely Effective</t>
  </si>
  <si>
    <t>E4: Fully Effective</t>
  </si>
  <si>
    <t>Whether a control is designed to achieve its objective: if it operated exactly as written, would it mitigate the risk? Scored on the M1–M5 maturity scale (Part A).</t>
  </si>
  <si>
    <t>Whether the designed control actually operated as intended during the audit period: did it work in practice? Scored on the E1–E4 scale (Part B).</t>
  </si>
  <si>
    <t>The ability to export data and workloads to another environment without significant effort, cost, or loss, ideally in open formats.</t>
  </si>
  <si>
    <t>Confirming that exported data can actually be loaded and used in an alternative environment without loss, not merely that the export completed.</t>
  </si>
  <si>
    <t>An involuntary exit cause (e.g. provider insolvency, sanctions, or non-EU acquisition) that the test scenario must include; a voluntary planned migration alone is insufficient.</t>
  </si>
  <si>
    <t>Verification that testing or documentation was executed or reviewed by someone who did not author it; the defining criterion for the highest levels.</t>
  </si>
  <si>
    <t>Digital Sovereignty Audit Framework (DSAF) — Operational Reversibility</t>
  </si>
  <si>
    <t>Treat Control 1 (the exit plan) as a prerequisite for the others. If it sits at M1 or E1, the overall conclusion should generally be Not Effective — strong scores elsewhere cannot compensate. Document any deviation from this.</t>
  </si>
  <si>
    <t>→ Exit plan document (draft or otherwise); note: outdated or unapproved plans confirm M2.
→ Contract text showing absence of exit rights or presence of prohibitive exit fees.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</si>
</sst>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x14ac:knownFonts="1">
    <font>
      <sz val="11"/>
      <color theme="1"/>
      <name val="Calibri"/>
      <family val="2"/>
      <scheme val="minor"/>
    </font>
    <font>
      <b/>
      <sz val="16"/>
      <color rgb="FFFFFFFF"/>
      <name val="Calibri"/>
      <family val="2"/>
    </font>
    <font>
      <sz val="10"/>
      <color rgb="FF000000"/>
      <name val="Calibri"/>
      <family val="2"/>
    </font>
    <font>
      <b/>
      <sz val="10"/>
      <color rgb="FFFFFFFF"/>
      <name val="Calibri"/>
      <family val="2"/>
    </font>
    <font>
      <b/>
      <sz val="9"/>
      <color rgb="FF000000"/>
      <name val="Calibri"/>
      <family val="2"/>
    </font>
    <font>
      <sz val="9"/>
      <color rgb="FF000000"/>
      <name val="Calibri"/>
      <family val="2"/>
    </font>
    <font>
      <b/>
      <sz val="14"/>
      <color rgb="FFFFFFFF"/>
      <name val="Calibri"/>
      <family val="2"/>
    </font>
    <font>
      <b/>
      <sz val="9"/>
      <color rgb="FFFFFFFF"/>
      <name val="Calibri"/>
      <family val="2"/>
    </font>
    <font>
      <i/>
      <sz val="9"/>
      <color rgb="FF000000"/>
      <name val="Calibri"/>
      <family val="2"/>
    </font>
    <font>
      <b/>
      <sz val="9"/>
      <color rgb="FF001158"/>
      <name val="Calibri"/>
      <family val="2"/>
    </font>
    <font>
      <sz val="12"/>
      <color rgb="FF000000"/>
      <name val="Calibri"/>
      <family val="2"/>
    </font>
    <font>
      <b/>
      <sz val="10"/>
      <color rgb="FF001158"/>
      <name val="Calibri"/>
      <family val="2"/>
    </font>
    <font>
      <sz val="11"/>
      <color rgb="FF000000"/>
      <name val="Calibri"/>
      <family val="2"/>
    </font>
    <font>
      <b/>
      <sz val="12"/>
      <color rgb="FF000000"/>
      <name val="Calibri"/>
      <family val="2"/>
    </font>
    <font>
      <sz val="11"/>
      <color theme="1"/>
      <name val="Calibri"/>
      <family val="2"/>
      <scheme val="minor"/>
    </font>
    <font>
      <sz val="11"/>
      <color theme="0"/>
      <name val="Calibri"/>
      <family val="2"/>
      <scheme val="minor"/>
    </font>
    <font>
      <b/>
      <sz val="11"/>
      <color rgb="FFFFFFFF"/>
      <name val="Calibri"/>
      <family val="2"/>
    </font>
    <font>
      <sz val="11"/>
      <color rgb="FFFFFFFF"/>
      <name val="Calibri"/>
      <family val="2"/>
    </font>
    <font>
      <b/>
      <sz val="12"/>
      <color rgb="FFFFFFFF"/>
      <name val="Calibri"/>
      <family val="2"/>
    </font>
    <font>
      <sz val="10"/>
      <color rgb="FF000000"/>
      <name val="Calibri"/>
      <family val="2"/>
    </font>
    <font>
      <b/>
      <sz val="10"/>
      <color rgb="FF000000"/>
      <name val="Calibri"/>
      <family val="2"/>
    </font>
    <font>
      <sz val="9"/>
      <color rgb="FF000000"/>
      <name val="Calibri"/>
      <family val="2"/>
    </font>
    <font>
      <b/>
      <sz val="10"/>
      <color rgb="FFFFFFFF"/>
      <name val="Calibri"/>
      <family val="2"/>
    </font>
    <font>
      <b/>
      <sz val="9"/>
      <color rgb="FFFFFFFF"/>
      <name val="Calibri"/>
      <family val="2"/>
    </font>
    <font>
      <i/>
      <sz val="9"/>
      <color rgb="FF000000"/>
      <name val="Calibri"/>
      <family val="2"/>
    </font>
    <font>
      <b/>
      <sz val="14"/>
      <color rgb="FFFFFFFF"/>
      <name val="Calibri"/>
      <family val="2"/>
    </font>
    <font>
      <i/>
      <sz val="8"/>
      <color rgb="FF595959"/>
      <name val="Calibri"/>
      <family val="2"/>
    </font>
    <font>
      <sz val="8"/>
      <name val="Calibri"/>
      <family val="2"/>
      <scheme val="minor"/>
    </font>
    <font>
      <sz val="9"/>
      <color theme="1"/>
      <name val="Calibri"/>
      <family val="2"/>
      <scheme val="minor"/>
    </font>
    <font>
      <b/>
      <sz val="9"/>
      <color theme="0"/>
      <name val="Calibri"/>
      <family val="2"/>
      <scheme val="minor"/>
    </font>
    <font>
      <b/>
      <sz val="10"/>
      <color rgb="FF001158"/>
      <name val="Calibri"/>
      <family val="2"/>
    </font>
    <font>
      <b/>
      <sz val="16"/>
      <color rgb="FFFFFFFF"/>
      <name val="Calibri"/>
      <family val="2"/>
    </font>
    <font>
      <sz val="11"/>
      <name val="Calibri"/>
      <family val="2"/>
      <scheme val="minor"/>
    </font>
    <font>
      <b/>
      <sz val="11"/>
      <name val="Calibri"/>
      <family val="2"/>
      <scheme val="minor"/>
    </font>
    <font>
      <sz val="10"/>
      <name val="Calibri"/>
      <family val="2"/>
    </font>
    <font>
      <sz val="9"/>
      <name val="Calibri"/>
      <family val="2"/>
    </font>
    <font>
      <b/>
      <sz val="11"/>
      <name val="Calibri"/>
      <family val="2"/>
    </font>
    <font>
      <b/>
      <sz val="9"/>
      <name val="Calibri"/>
      <family val="2"/>
      <scheme val="minor"/>
    </font>
    <font>
      <b/>
      <sz val="10"/>
      <name val="Calibri"/>
      <family val="2"/>
    </font>
    <font>
      <b/>
      <sz val="10"/>
      <color rgb="FF7F6000"/>
      <name val="Calibri"/>
      <family val="2"/>
    </font>
    <font>
      <sz val="12"/>
      <color rgb="FFEADFBB"/>
      <name val="Calibri"/>
      <family val="2"/>
      <scheme val="minor"/>
    </font>
    <font>
      <sz val="12"/>
      <color theme="1"/>
      <name val="Calibri"/>
      <family val="2"/>
    </font>
    <font>
      <sz val="11"/>
      <color rgb="FFFFFFFF"/>
      <name val="Calibri"/>
      <family val="2"/>
      <scheme val="minor"/>
    </font>
    <font>
      <b/>
      <sz val="16"/>
      <color rgb="FFFFFFFF"/>
      <name val="Calibri"/>
      <family val="2"/>
      <scheme val="minor"/>
    </font>
    <font>
      <b/>
      <sz val="11"/>
      <color rgb="FFFFFFFF"/>
      <name val="Calibri"/>
      <family val="2"/>
      <scheme val="minor"/>
    </font>
    <font>
      <b/>
      <sz val="9"/>
      <color rgb="FF001158"/>
      <name val="Calibri"/>
      <family val="2"/>
      <scheme val="minor"/>
    </font>
    <font>
      <sz val="11"/>
      <color theme="1"/>
      <name val="Calibri (Body)"/>
    </font>
    <font>
      <b/>
      <sz val="12"/>
      <color rgb="FFFFFFFF"/>
      <name val="Calibri (Body)"/>
    </font>
    <font>
      <sz val="12"/>
      <color theme="1"/>
      <name val="Calibri (Body)"/>
    </font>
  </fonts>
  <fills count="31">
    <fill>
      <patternFill patternType="none"/>
    </fill>
    <fill>
      <patternFill patternType="gray125"/>
    </fill>
    <fill>
      <patternFill patternType="solid">
        <fgColor rgb="FF001158"/>
      </patternFill>
    </fill>
    <fill>
      <patternFill patternType="solid">
        <fgColor rgb="FF2E5FA3"/>
      </patternFill>
    </fill>
    <fill>
      <patternFill patternType="solid">
        <fgColor rgb="FFF4F4F4"/>
      </patternFill>
    </fill>
    <fill>
      <patternFill patternType="solid">
        <fgColor rgb="FFE2EFDA"/>
      </patternFill>
    </fill>
    <fill>
      <patternFill patternType="solid">
        <fgColor rgb="FFC00000"/>
      </patternFill>
    </fill>
    <fill>
      <patternFill patternType="solid">
        <fgColor rgb="FFED7D31"/>
      </patternFill>
    </fill>
    <fill>
      <patternFill patternType="solid">
        <fgColor rgb="FFFFC000"/>
      </patternFill>
    </fill>
    <fill>
      <patternFill patternType="solid">
        <fgColor rgb="FF375623"/>
      </patternFill>
    </fill>
    <fill>
      <patternFill patternType="solid">
        <fgColor rgb="FFD6E4F0"/>
      </patternFill>
    </fill>
    <fill>
      <patternFill patternType="solid">
        <fgColor rgb="FFFFF2CC"/>
      </patternFill>
    </fill>
    <fill>
      <patternFill patternType="solid">
        <fgColor rgb="FFFFFFFF"/>
      </patternFill>
    </fill>
    <fill>
      <patternFill patternType="solid">
        <fgColor theme="4"/>
      </patternFill>
    </fill>
    <fill>
      <patternFill patternType="solid">
        <fgColor theme="4" tint="0.79998168889431442"/>
        <bgColor indexed="65"/>
      </patternFill>
    </fill>
    <fill>
      <patternFill patternType="solid">
        <fgColor theme="6"/>
      </patternFill>
    </fill>
    <fill>
      <patternFill patternType="solid">
        <fgColor theme="6" tint="0.79998168889431442"/>
        <bgColor indexed="65"/>
      </patternFill>
    </fill>
    <fill>
      <patternFill patternType="solid">
        <fgColor theme="7"/>
      </patternFill>
    </fill>
    <fill>
      <patternFill patternType="solid">
        <fgColor theme="7" tint="0.79998168889431442"/>
        <bgColor indexed="65"/>
      </patternFill>
    </fill>
    <fill>
      <patternFill patternType="solid">
        <fgColor rgb="FF00206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rgb="FFFFEB9C"/>
      </patternFill>
    </fill>
    <fill>
      <patternFill patternType="solid">
        <fgColor rgb="FF001158"/>
        <bgColor rgb="FF002060"/>
      </patternFill>
    </fill>
    <fill>
      <patternFill patternType="solid">
        <fgColor rgb="FFF4F4F4"/>
        <bgColor rgb="FFF2F2F2"/>
      </patternFill>
    </fill>
    <fill>
      <patternFill patternType="solid">
        <fgColor rgb="FFFFF2CC"/>
        <bgColor rgb="FFEBF1DE"/>
      </patternFill>
    </fill>
    <fill>
      <patternFill patternType="solid">
        <fgColor rgb="FFFFF3CC"/>
        <bgColor indexed="64"/>
      </patternFill>
    </fill>
    <fill>
      <patternFill patternType="solid">
        <fgColor rgb="FF001158"/>
        <bgColor indexed="64"/>
      </patternFill>
    </fill>
    <fill>
      <patternFill patternType="solid">
        <fgColor rgb="FF2E5FA3"/>
        <bgColor indexed="64"/>
      </patternFill>
    </fill>
    <fill>
      <patternFill patternType="solid">
        <fgColor rgb="FFF4F4F4"/>
        <bgColor indexed="64"/>
      </patternFill>
    </fill>
    <fill>
      <patternFill patternType="solid">
        <fgColor rgb="FF002060"/>
        <bgColor rgb="FF3366FF"/>
      </patternFill>
    </fill>
  </fills>
  <borders count="14">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diagonal/>
    </border>
    <border>
      <left style="thin">
        <color rgb="FFBFBFBF"/>
      </left>
      <right/>
      <top style="thin">
        <color rgb="FFBFBFBF"/>
      </top>
      <bottom/>
      <diagonal/>
    </border>
    <border>
      <left/>
      <right/>
      <top style="thin">
        <color rgb="FFBFBFBF"/>
      </top>
      <bottom/>
      <diagonal/>
    </border>
    <border>
      <left/>
      <right/>
      <top/>
      <bottom style="thin">
        <color rgb="FFBFBFBF"/>
      </bottom>
      <diagonal/>
    </border>
    <border>
      <left style="thin">
        <color rgb="FFBFBFBF"/>
      </left>
      <right/>
      <top/>
      <bottom/>
      <diagonal/>
    </border>
    <border>
      <left style="thin">
        <color rgb="FFB2B2B2"/>
      </left>
      <right style="thin">
        <color rgb="FFB2B2B2"/>
      </right>
      <top style="thin">
        <color rgb="FFB2B2B2"/>
      </top>
      <bottom style="thin">
        <color rgb="FFB2B2B2"/>
      </bottom>
      <diagonal/>
    </border>
  </borders>
  <cellStyleXfs count="8">
    <xf numFmtId="0" fontId="0" fillId="0" borderId="0"/>
    <xf numFmtId="0" fontId="15" fillId="13" borderId="0" applyNumberFormat="0" applyBorder="0" applyAlignment="0" applyProtection="0"/>
    <xf numFmtId="0" fontId="14" fillId="14" borderId="0" applyNumberFormat="0" applyBorder="0" applyAlignment="0" applyProtection="0"/>
    <xf numFmtId="0" fontId="15" fillId="15" borderId="0" applyNumberFormat="0" applyBorder="0" applyAlignment="0" applyProtection="0"/>
    <xf numFmtId="0" fontId="14" fillId="16" borderId="0" applyNumberFormat="0" applyBorder="0" applyAlignment="0" applyProtection="0"/>
    <xf numFmtId="0" fontId="15" fillId="17" borderId="0" applyNumberFormat="0" applyBorder="0" applyAlignment="0" applyProtection="0"/>
    <xf numFmtId="0" fontId="14" fillId="18" borderId="0" applyNumberFormat="0" applyBorder="0" applyAlignment="0" applyProtection="0"/>
    <xf numFmtId="0" fontId="40" fillId="22" borderId="13"/>
  </cellStyleXfs>
  <cellXfs count="138">
    <xf numFmtId="0" fontId="0" fillId="0" borderId="0" xfId="0"/>
    <xf numFmtId="0" fontId="3" fillId="2" borderId="0" xfId="0" applyFont="1" applyFill="1" applyAlignment="1">
      <alignment horizontal="center" vertical="center" wrapText="1"/>
    </xf>
    <xf numFmtId="0" fontId="7" fillId="2"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5" fillId="11" borderId="1" xfId="0" applyFont="1" applyFill="1" applyBorder="1" applyAlignment="1">
      <alignment horizontal="center" vertical="center" wrapText="1"/>
    </xf>
    <xf numFmtId="0" fontId="5" fillId="12" borderId="1" xfId="0" applyFont="1" applyFill="1" applyBorder="1" applyAlignment="1">
      <alignment horizontal="left" vertical="center" wrapText="1"/>
    </xf>
    <xf numFmtId="0" fontId="10" fillId="11" borderId="1" xfId="0" applyFont="1" applyFill="1" applyBorder="1" applyAlignment="1">
      <alignment horizontal="center" vertical="center" wrapText="1"/>
    </xf>
    <xf numFmtId="0" fontId="11" fillId="10" borderId="1" xfId="0" applyFont="1" applyFill="1" applyBorder="1" applyAlignment="1">
      <alignment horizontal="left" vertical="center" wrapText="1"/>
    </xf>
    <xf numFmtId="0" fontId="12" fillId="11"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2" fillId="12" borderId="1" xfId="0" applyFont="1" applyFill="1" applyBorder="1" applyAlignment="1">
      <alignment horizontal="left" vertical="center" wrapText="1"/>
    </xf>
    <xf numFmtId="0" fontId="11" fillId="10" borderId="1" xfId="0" applyFont="1" applyFill="1" applyBorder="1" applyAlignment="1">
      <alignment horizontal="right" vertical="center" wrapText="1"/>
    </xf>
    <xf numFmtId="0" fontId="13" fillId="11" borderId="1" xfId="0" applyFont="1" applyFill="1" applyBorder="1" applyAlignment="1">
      <alignment horizontal="center" vertical="center" wrapText="1"/>
    </xf>
    <xf numFmtId="0" fontId="2" fillId="4" borderId="0" xfId="0" applyFont="1" applyFill="1" applyAlignment="1">
      <alignment horizontal="left" vertical="center" wrapText="1"/>
    </xf>
    <xf numFmtId="0" fontId="5" fillId="4" borderId="0" xfId="0" applyFont="1" applyFill="1" applyAlignment="1">
      <alignment wrapText="1"/>
    </xf>
    <xf numFmtId="0" fontId="3" fillId="6" borderId="0" xfId="0" applyFont="1" applyFill="1" applyAlignment="1">
      <alignment horizontal="center" vertical="center"/>
    </xf>
    <xf numFmtId="0" fontId="4" fillId="4" borderId="0" xfId="0" applyFont="1" applyFill="1"/>
    <xf numFmtId="0" fontId="5" fillId="4" borderId="0" xfId="0" applyFont="1" applyFill="1"/>
    <xf numFmtId="0" fontId="3" fillId="7" borderId="0" xfId="0" applyFont="1" applyFill="1" applyAlignment="1">
      <alignment horizontal="center" vertical="center"/>
    </xf>
    <xf numFmtId="0" fontId="3" fillId="3" borderId="0" xfId="0" applyFont="1" applyFill="1" applyAlignment="1">
      <alignment horizontal="center" vertical="center"/>
    </xf>
    <xf numFmtId="0" fontId="3" fillId="9" borderId="0" xfId="0" applyFont="1" applyFill="1" applyAlignment="1">
      <alignment horizontal="center" vertical="center"/>
    </xf>
    <xf numFmtId="0" fontId="4" fillId="4" borderId="0" xfId="0" applyFont="1" applyFill="1" applyAlignment="1">
      <alignment wrapText="1"/>
    </xf>
    <xf numFmtId="0" fontId="21" fillId="4" borderId="0" xfId="0" applyFont="1" applyFill="1" applyAlignment="1">
      <alignment wrapText="1"/>
    </xf>
    <xf numFmtId="0" fontId="19" fillId="5" borderId="4" xfId="0" applyFont="1" applyFill="1" applyBorder="1" applyAlignment="1">
      <alignment horizontal="left" vertical="center" wrapText="1"/>
    </xf>
    <xf numFmtId="0" fontId="22" fillId="6" borderId="0" xfId="0" applyFont="1" applyFill="1" applyAlignment="1">
      <alignment horizontal="center" vertical="center"/>
    </xf>
    <xf numFmtId="0" fontId="22" fillId="7" borderId="0" xfId="0" applyFont="1" applyFill="1" applyAlignment="1">
      <alignment horizontal="center" vertical="center"/>
    </xf>
    <xf numFmtId="0" fontId="20" fillId="8" borderId="0" xfId="0" applyFont="1" applyFill="1" applyAlignment="1">
      <alignment horizontal="center" vertical="center"/>
    </xf>
    <xf numFmtId="0" fontId="22" fillId="3" borderId="0" xfId="0" applyFont="1" applyFill="1" applyAlignment="1">
      <alignment horizontal="center" vertical="center"/>
    </xf>
    <xf numFmtId="0" fontId="22" fillId="9" borderId="0" xfId="0" applyFont="1" applyFill="1" applyAlignment="1">
      <alignment horizontal="center" vertical="center"/>
    </xf>
    <xf numFmtId="0" fontId="23" fillId="2" borderId="1" xfId="0" applyFont="1" applyFill="1" applyBorder="1" applyAlignment="1">
      <alignment horizontal="center" vertical="center" wrapText="1"/>
    </xf>
    <xf numFmtId="0" fontId="21" fillId="12" borderId="1" xfId="0" applyFont="1" applyFill="1" applyBorder="1" applyAlignment="1">
      <alignment horizontal="left" vertical="center" wrapText="1"/>
    </xf>
    <xf numFmtId="0" fontId="23" fillId="6" borderId="1" xfId="0" applyFont="1" applyFill="1" applyBorder="1" applyAlignment="1">
      <alignment horizontal="center" vertical="center" wrapText="1"/>
    </xf>
    <xf numFmtId="0" fontId="22" fillId="6" borderId="1" xfId="0" applyFont="1" applyFill="1" applyBorder="1" applyAlignment="1">
      <alignment horizontal="center" vertical="center" wrapText="1"/>
    </xf>
    <xf numFmtId="0" fontId="23" fillId="7" borderId="1" xfId="0" applyFont="1" applyFill="1" applyBorder="1" applyAlignment="1">
      <alignment horizontal="center" vertical="center" wrapText="1"/>
    </xf>
    <xf numFmtId="0" fontId="22" fillId="7" borderId="1" xfId="0" applyFont="1" applyFill="1" applyBorder="1" applyAlignment="1">
      <alignment horizontal="center" vertical="center" wrapText="1"/>
    </xf>
    <xf numFmtId="0" fontId="22" fillId="8" borderId="1" xfId="0" applyFont="1" applyFill="1" applyBorder="1" applyAlignment="1">
      <alignment horizontal="center" vertical="center" wrapText="1"/>
    </xf>
    <xf numFmtId="0" fontId="22" fillId="3" borderId="1" xfId="0" applyFont="1" applyFill="1" applyBorder="1" applyAlignment="1">
      <alignment horizontal="center" vertical="center" wrapText="1"/>
    </xf>
    <xf numFmtId="0" fontId="22" fillId="9" borderId="1" xfId="0" applyFont="1" applyFill="1" applyBorder="1" applyAlignment="1">
      <alignment horizontal="center" vertical="center" wrapText="1"/>
    </xf>
    <xf numFmtId="0" fontId="23" fillId="8" borderId="1" xfId="0" applyFont="1" applyFill="1" applyBorder="1" applyAlignment="1">
      <alignment horizontal="center" vertical="center" wrapText="1"/>
    </xf>
    <xf numFmtId="0" fontId="23" fillId="3" borderId="1" xfId="0" applyFont="1" applyFill="1" applyBorder="1" applyAlignment="1">
      <alignment horizontal="center" vertical="center" wrapText="1"/>
    </xf>
    <xf numFmtId="0" fontId="23" fillId="9" borderId="1" xfId="0" applyFont="1" applyFill="1" applyBorder="1" applyAlignment="1">
      <alignment horizontal="center" vertical="center" wrapText="1"/>
    </xf>
    <xf numFmtId="0" fontId="21" fillId="4" borderId="1" xfId="0" applyFont="1" applyFill="1" applyBorder="1" applyAlignment="1">
      <alignment horizontal="left" vertical="center" wrapText="1"/>
    </xf>
    <xf numFmtId="0" fontId="26" fillId="4" borderId="1" xfId="0" applyFont="1" applyFill="1" applyBorder="1" applyAlignment="1">
      <alignment horizontal="left" vertical="center" wrapText="1"/>
    </xf>
    <xf numFmtId="0" fontId="30" fillId="10" borderId="1" xfId="0" applyFont="1" applyFill="1" applyBorder="1" applyAlignment="1">
      <alignment horizontal="left" vertical="center" wrapText="1"/>
    </xf>
    <xf numFmtId="0" fontId="22" fillId="2" borderId="1" xfId="0" applyFont="1" applyFill="1" applyBorder="1" applyAlignment="1">
      <alignment horizontal="center" vertical="center" wrapText="1"/>
    </xf>
    <xf numFmtId="0" fontId="33" fillId="15" borderId="5" xfId="3" applyFont="1" applyBorder="1" applyAlignment="1">
      <alignment horizontal="left" vertical="center" wrapText="1"/>
    </xf>
    <xf numFmtId="0" fontId="33" fillId="15" borderId="2" xfId="3" applyFont="1" applyBorder="1" applyAlignment="1">
      <alignment horizontal="left" vertical="center" wrapText="1"/>
    </xf>
    <xf numFmtId="0" fontId="2" fillId="12" borderId="0" xfId="0" applyFont="1" applyFill="1" applyAlignment="1">
      <alignment horizontal="left" vertical="center" wrapText="1"/>
    </xf>
    <xf numFmtId="0" fontId="2" fillId="5" borderId="3" xfId="0" applyFont="1" applyFill="1" applyBorder="1" applyAlignment="1">
      <alignment horizontal="left" vertical="center" wrapText="1"/>
    </xf>
    <xf numFmtId="0" fontId="20" fillId="24" borderId="0" xfId="0" applyFont="1" applyFill="1" applyAlignment="1">
      <alignment vertical="top" wrapText="1"/>
    </xf>
    <xf numFmtId="0" fontId="41" fillId="26" borderId="0" xfId="0" applyFont="1" applyFill="1" applyAlignment="1">
      <alignment horizontal="center" vertical="center" wrapText="1"/>
    </xf>
    <xf numFmtId="0" fontId="5" fillId="4" borderId="0" xfId="0" applyFont="1" applyFill="1" applyAlignment="1">
      <alignment horizontal="left" vertical="center" wrapText="1"/>
    </xf>
    <xf numFmtId="0" fontId="5" fillId="12" borderId="0" xfId="0" applyFont="1" applyFill="1" applyAlignment="1">
      <alignment horizontal="left" vertical="center" wrapText="1"/>
    </xf>
    <xf numFmtId="0" fontId="7" fillId="6" borderId="6" xfId="0" applyFont="1" applyFill="1" applyBorder="1" applyAlignment="1">
      <alignment horizontal="center" vertical="center" wrapText="1"/>
    </xf>
    <xf numFmtId="0" fontId="7" fillId="7" borderId="6"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7" fillId="9" borderId="6" xfId="0" applyFont="1" applyFill="1" applyBorder="1" applyAlignment="1">
      <alignment horizontal="center" vertical="center" wrapText="1"/>
    </xf>
    <xf numFmtId="0" fontId="44" fillId="27" borderId="0" xfId="0" applyFont="1" applyFill="1" applyAlignment="1">
      <alignment horizontal="left"/>
    </xf>
    <xf numFmtId="0" fontId="0" fillId="27" borderId="1" xfId="0" applyFill="1" applyBorder="1"/>
    <xf numFmtId="0" fontId="28" fillId="0" borderId="1" xfId="0" applyFont="1" applyBorder="1" applyAlignment="1">
      <alignment vertical="top" wrapText="1"/>
    </xf>
    <xf numFmtId="0" fontId="0" fillId="0" borderId="1" xfId="0" applyBorder="1" applyAlignment="1">
      <alignment vertical="top" wrapText="1"/>
    </xf>
    <xf numFmtId="0" fontId="0" fillId="27" borderId="1" xfId="0" applyFill="1" applyBorder="1" applyAlignment="1">
      <alignment vertical="top" wrapText="1"/>
    </xf>
    <xf numFmtId="0" fontId="3" fillId="2" borderId="0" xfId="0" applyFont="1" applyFill="1" applyAlignment="1">
      <alignment horizontal="center" vertical="center" wrapText="1"/>
    </xf>
    <xf numFmtId="0" fontId="22" fillId="2" borderId="0" xfId="0" applyFont="1" applyFill="1" applyAlignment="1">
      <alignment horizontal="center" vertical="center" wrapText="1"/>
    </xf>
    <xf numFmtId="0" fontId="18" fillId="23" borderId="0" xfId="0" applyFont="1" applyFill="1" applyAlignment="1">
      <alignment vertical="top" wrapText="1"/>
    </xf>
    <xf numFmtId="0" fontId="2" fillId="24" borderId="0" xfId="0" applyFont="1" applyFill="1" applyAlignment="1">
      <alignment vertical="top" wrapText="1"/>
    </xf>
    <xf numFmtId="0" fontId="39" fillId="25" borderId="0" xfId="0" applyFont="1" applyFill="1" applyAlignment="1">
      <alignment vertical="top" wrapText="1"/>
    </xf>
    <xf numFmtId="0" fontId="2" fillId="4" borderId="0" xfId="0" applyFont="1" applyFill="1" applyAlignment="1">
      <alignment horizontal="left" vertical="center" wrapText="1"/>
    </xf>
    <xf numFmtId="0" fontId="19" fillId="4" borderId="0" xfId="0" applyFont="1" applyFill="1" applyAlignment="1">
      <alignment horizontal="left" vertical="center" wrapText="1"/>
    </xf>
    <xf numFmtId="0" fontId="1" fillId="2" borderId="0" xfId="0" applyFont="1" applyFill="1" applyAlignment="1">
      <alignment horizontal="center" vertical="center" wrapText="1"/>
    </xf>
    <xf numFmtId="0" fontId="17" fillId="3" borderId="0" xfId="0" applyFont="1" applyFill="1" applyAlignment="1">
      <alignment horizontal="center" vertical="center" wrapText="1"/>
    </xf>
    <xf numFmtId="0" fontId="18" fillId="2" borderId="0" xfId="0" applyFont="1" applyFill="1" applyAlignment="1">
      <alignment horizontal="center" vertical="center" wrapText="1"/>
    </xf>
    <xf numFmtId="0" fontId="0" fillId="0" borderId="0" xfId="0"/>
    <xf numFmtId="0" fontId="0" fillId="0" borderId="0" xfId="0" applyAlignment="1">
      <alignment wrapText="1"/>
    </xf>
    <xf numFmtId="0" fontId="45" fillId="29" borderId="0" xfId="0" applyFont="1" applyFill="1" applyAlignment="1">
      <alignment vertical="top" wrapText="1"/>
    </xf>
    <xf numFmtId="0" fontId="45" fillId="29" borderId="8" xfId="0" applyFont="1" applyFill="1" applyBorder="1" applyAlignment="1">
      <alignment vertical="top" wrapText="1"/>
    </xf>
    <xf numFmtId="0" fontId="43" fillId="27" borderId="0" xfId="0" applyFont="1" applyFill="1" applyAlignment="1">
      <alignment horizontal="left" vertical="center"/>
    </xf>
    <xf numFmtId="0" fontId="42" fillId="28" borderId="0" xfId="0" applyFont="1" applyFill="1" applyAlignment="1">
      <alignment horizontal="left" vertical="center"/>
    </xf>
    <xf numFmtId="0" fontId="23" fillId="2" borderId="1" xfId="0" applyFont="1" applyFill="1" applyBorder="1" applyAlignment="1">
      <alignment horizontal="center" vertical="center" wrapText="1"/>
    </xf>
    <xf numFmtId="0" fontId="21" fillId="4" borderId="1" xfId="0" applyFont="1" applyFill="1" applyBorder="1" applyAlignment="1">
      <alignment horizontal="left" vertical="center" wrapText="1"/>
    </xf>
    <xf numFmtId="0" fontId="16" fillId="19" borderId="0" xfId="0" applyFont="1" applyFill="1" applyAlignment="1">
      <alignment horizontal="left" vertical="center" wrapText="1"/>
    </xf>
    <xf numFmtId="0" fontId="0" fillId="19" borderId="0" xfId="0" applyFill="1" applyAlignment="1">
      <alignment horizontal="left"/>
    </xf>
    <xf numFmtId="0" fontId="24" fillId="10" borderId="0" xfId="0" applyFont="1" applyFill="1" applyAlignment="1">
      <alignment horizontal="left" vertical="center" wrapText="1"/>
    </xf>
    <xf numFmtId="0" fontId="5" fillId="4" borderId="9" xfId="0" applyFont="1" applyFill="1" applyBorder="1" applyAlignment="1">
      <alignment horizontal="left" vertical="center" wrapText="1"/>
    </xf>
    <xf numFmtId="0" fontId="5" fillId="4" borderId="10" xfId="0" applyFont="1" applyFill="1" applyBorder="1" applyAlignment="1">
      <alignment horizontal="left"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23" fillId="2" borderId="0" xfId="0" applyFont="1" applyFill="1" applyAlignment="1">
      <alignment horizontal="center" vertical="center" wrapText="1"/>
    </xf>
    <xf numFmtId="0" fontId="23" fillId="2" borderId="8" xfId="0" applyFont="1" applyFill="1" applyBorder="1" applyAlignment="1">
      <alignment horizontal="center" vertical="center" wrapText="1"/>
    </xf>
    <xf numFmtId="0" fontId="8" fillId="10" borderId="0" xfId="0" applyFont="1" applyFill="1" applyAlignment="1">
      <alignment horizontal="left" vertical="center" wrapText="1"/>
    </xf>
    <xf numFmtId="0" fontId="7" fillId="2" borderId="1" xfId="0" applyFont="1" applyFill="1" applyBorder="1" applyAlignment="1">
      <alignment horizontal="center" vertical="center" wrapText="1"/>
    </xf>
    <xf numFmtId="0" fontId="9" fillId="4" borderId="0" xfId="0" applyFont="1" applyFill="1" applyAlignment="1">
      <alignment horizontal="center" vertical="center" wrapText="1"/>
    </xf>
    <xf numFmtId="0" fontId="9" fillId="4" borderId="8" xfId="0" applyFont="1" applyFill="1" applyBorder="1" applyAlignment="1">
      <alignment horizontal="center" vertical="center" wrapText="1"/>
    </xf>
    <xf numFmtId="0" fontId="9" fillId="12" borderId="0" xfId="0" applyFont="1" applyFill="1" applyAlignment="1">
      <alignment horizontal="center" vertical="center" wrapText="1"/>
    </xf>
    <xf numFmtId="0" fontId="9" fillId="12" borderId="8" xfId="0" applyFont="1" applyFill="1" applyBorder="1" applyAlignment="1">
      <alignment horizontal="center" vertical="center" wrapText="1"/>
    </xf>
    <xf numFmtId="0" fontId="29" fillId="13" borderId="0" xfId="1" applyFont="1" applyAlignment="1">
      <alignment horizontal="center" vertical="center" wrapText="1"/>
    </xf>
    <xf numFmtId="0" fontId="29" fillId="13" borderId="0" xfId="1" applyFont="1"/>
    <xf numFmtId="0" fontId="25" fillId="2" borderId="0" xfId="0" applyFont="1" applyFill="1" applyAlignment="1">
      <alignment horizontal="left" vertical="center" wrapText="1"/>
    </xf>
    <xf numFmtId="0" fontId="0" fillId="0" borderId="0" xfId="0" applyAlignment="1">
      <alignment horizontal="left"/>
    </xf>
    <xf numFmtId="0" fontId="28" fillId="18" borderId="0" xfId="6" applyFont="1" applyAlignment="1">
      <alignment horizontal="left" vertical="center" wrapText="1"/>
    </xf>
    <xf numFmtId="0" fontId="29" fillId="17" borderId="0" xfId="5" applyFont="1" applyAlignment="1">
      <alignment horizontal="center" vertical="center" wrapText="1"/>
    </xf>
    <xf numFmtId="0" fontId="28" fillId="16" borderId="0" xfId="4" applyFont="1" applyAlignment="1">
      <alignment horizontal="left" vertical="center" wrapText="1"/>
    </xf>
    <xf numFmtId="0" fontId="28" fillId="16" borderId="0" xfId="4" applyFont="1"/>
    <xf numFmtId="0" fontId="29" fillId="15" borderId="0" xfId="3" applyFont="1" applyAlignment="1">
      <alignment horizontal="center" vertical="center" wrapText="1"/>
    </xf>
    <xf numFmtId="0" fontId="29" fillId="15" borderId="0" xfId="3" applyFont="1"/>
    <xf numFmtId="0" fontId="28" fillId="14" borderId="0" xfId="2" applyFont="1" applyAlignment="1">
      <alignment vertical="center" wrapText="1"/>
    </xf>
    <xf numFmtId="0" fontId="28" fillId="14" borderId="0" xfId="2" applyFont="1" applyAlignment="1">
      <alignment vertical="center"/>
    </xf>
    <xf numFmtId="0" fontId="18" fillId="23" borderId="0" xfId="0" applyFont="1" applyFill="1" applyAlignment="1">
      <alignment vertical="center" wrapText="1"/>
    </xf>
    <xf numFmtId="0" fontId="3" fillId="30" borderId="1" xfId="0" applyFont="1" applyFill="1" applyBorder="1" applyAlignment="1">
      <alignment vertical="center" wrapText="1"/>
    </xf>
    <xf numFmtId="0" fontId="38" fillId="24" borderId="1" xfId="0" applyFont="1" applyFill="1" applyBorder="1" applyAlignment="1">
      <alignment vertical="top" wrapText="1"/>
    </xf>
    <xf numFmtId="0" fontId="34" fillId="24" borderId="1" xfId="0" applyFont="1" applyFill="1" applyBorder="1" applyAlignment="1">
      <alignment vertical="top" wrapText="1"/>
    </xf>
    <xf numFmtId="0" fontId="5" fillId="4" borderId="1" xfId="0" applyFont="1" applyFill="1" applyBorder="1" applyAlignment="1">
      <alignment horizontal="left" vertical="center" wrapText="1"/>
    </xf>
    <xf numFmtId="0" fontId="23" fillId="2" borderId="6" xfId="0" applyFont="1" applyFill="1" applyBorder="1" applyAlignment="1">
      <alignment horizontal="center" vertical="center" wrapText="1"/>
    </xf>
    <xf numFmtId="0" fontId="23" fillId="2" borderId="7" xfId="0" applyFont="1" applyFill="1" applyBorder="1" applyAlignment="1">
      <alignment horizontal="center" vertical="center" wrapText="1"/>
    </xf>
    <xf numFmtId="0" fontId="9" fillId="4" borderId="6" xfId="0" applyFont="1" applyFill="1" applyBorder="1" applyAlignment="1">
      <alignment horizontal="center" vertical="center" wrapText="1"/>
    </xf>
    <xf numFmtId="0" fontId="9" fillId="4" borderId="7" xfId="0" applyFont="1" applyFill="1" applyBorder="1" applyAlignment="1">
      <alignment horizontal="center" vertical="center" wrapText="1"/>
    </xf>
    <xf numFmtId="0" fontId="9" fillId="12" borderId="6" xfId="0" applyFont="1" applyFill="1" applyBorder="1" applyAlignment="1">
      <alignment horizontal="center" vertical="center" wrapText="1"/>
    </xf>
    <xf numFmtId="0" fontId="9" fillId="12" borderId="7" xfId="0" applyFont="1" applyFill="1" applyBorder="1" applyAlignment="1">
      <alignment horizontal="center" vertical="center" wrapText="1"/>
    </xf>
    <xf numFmtId="0" fontId="6" fillId="2" borderId="0" xfId="0" applyFont="1" applyFill="1" applyAlignment="1">
      <alignment horizontal="left" vertical="center" wrapText="1"/>
    </xf>
    <xf numFmtId="0" fontId="16" fillId="19" borderId="11" xfId="0" applyFont="1" applyFill="1" applyBorder="1" applyAlignment="1">
      <alignment horizontal="left" vertical="center" wrapText="1"/>
    </xf>
    <xf numFmtId="0" fontId="29" fillId="15" borderId="0" xfId="3" applyFont="1" applyAlignment="1">
      <alignment wrapText="1"/>
    </xf>
    <xf numFmtId="0" fontId="28" fillId="16" borderId="0" xfId="4" applyFont="1" applyAlignment="1">
      <alignment wrapText="1"/>
    </xf>
    <xf numFmtId="0" fontId="29" fillId="13" borderId="0" xfId="1" applyFont="1" applyAlignment="1">
      <alignment wrapText="1"/>
    </xf>
    <xf numFmtId="0" fontId="37" fillId="21" borderId="12" xfId="1" applyFont="1" applyFill="1" applyBorder="1" applyAlignment="1">
      <alignment horizontal="left" vertical="center" wrapText="1"/>
    </xf>
    <xf numFmtId="0" fontId="37" fillId="21" borderId="0" xfId="1" applyFont="1" applyFill="1" applyBorder="1" applyAlignment="1">
      <alignment horizontal="left" vertical="center" wrapText="1"/>
    </xf>
    <xf numFmtId="0" fontId="31" fillId="2" borderId="0" xfId="0" applyFont="1" applyFill="1" applyAlignment="1">
      <alignment horizontal="center" vertical="center" wrapText="1"/>
    </xf>
    <xf numFmtId="0" fontId="47" fillId="2" borderId="0" xfId="0" applyFont="1" applyFill="1" applyAlignment="1">
      <alignment horizontal="left" vertical="center" wrapText="1"/>
    </xf>
    <xf numFmtId="0" fontId="46" fillId="0" borderId="0" xfId="0" applyFont="1" applyAlignment="1">
      <alignment horizontal="left"/>
    </xf>
    <xf numFmtId="0" fontId="35" fillId="20" borderId="0" xfId="0" applyFont="1" applyFill="1" applyAlignment="1">
      <alignment horizontal="left" vertical="center" wrapText="1"/>
    </xf>
    <xf numFmtId="0" fontId="36" fillId="20" borderId="0" xfId="0" applyFont="1" applyFill="1" applyAlignment="1">
      <alignment horizontal="left" vertical="center" wrapText="1"/>
    </xf>
    <xf numFmtId="0" fontId="34" fillId="20" borderId="0" xfId="0" applyFont="1" applyFill="1" applyAlignment="1">
      <alignment horizontal="left" vertical="center" wrapText="1"/>
    </xf>
    <xf numFmtId="0" fontId="32" fillId="20" borderId="0" xfId="0" applyFont="1" applyFill="1"/>
    <xf numFmtId="0" fontId="48" fillId="0" borderId="0" xfId="0" applyFont="1" applyAlignment="1">
      <alignment horizontal="left"/>
    </xf>
    <xf numFmtId="0" fontId="5" fillId="4" borderId="0" xfId="0" applyFont="1" applyFill="1" applyAlignment="1">
      <alignment horizontal="left" vertical="center" wrapText="1"/>
    </xf>
    <xf numFmtId="0" fontId="5" fillId="12" borderId="0" xfId="0" applyFont="1" applyFill="1" applyAlignment="1">
      <alignment horizontal="left" vertical="center" wrapText="1"/>
    </xf>
    <xf numFmtId="0" fontId="18" fillId="2" borderId="12" xfId="0" applyFont="1" applyFill="1" applyBorder="1" applyAlignment="1">
      <alignment horizontal="left" vertical="center" wrapText="1"/>
    </xf>
    <xf numFmtId="0" fontId="18" fillId="2" borderId="0" xfId="0" applyFont="1" applyFill="1" applyAlignment="1">
      <alignment horizontal="left" vertical="center" wrapText="1"/>
    </xf>
  </cellXfs>
  <cellStyles count="8">
    <cellStyle name="20% - Accent1" xfId="2" builtinId="30"/>
    <cellStyle name="20% - Accent3" xfId="4" builtinId="38"/>
    <cellStyle name="20% - Accent4" xfId="6" builtinId="42"/>
    <cellStyle name="Accent1" xfId="1" builtinId="29"/>
    <cellStyle name="Accent3" xfId="3" builtinId="37"/>
    <cellStyle name="Accent4" xfId="5" builtinId="41"/>
    <cellStyle name="Normal" xfId="0" builtinId="0"/>
    <cellStyle name="reached" xfId="7" xr:uid="{B4C3C3B0-6E3D-BC4F-A8E0-17CFDDDDB956}"/>
  </cellStyles>
  <dxfs count="0"/>
  <tableStyles count="0" defaultTableStyle="TableStyleMedium9" defaultPivotStyle="PivotStyleLight16"/>
  <colors>
    <mruColors>
      <color rgb="FFFFF3CC"/>
      <color rgb="FFEADFB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32EA4C7-496A-8442-A69E-EC9C47DF274D}">
  <we:reference id="wa200009404" version="1.0.0.8" store="en-US" storeType="OMEX"/>
  <we:alternateReferences>
    <we:reference id="wa200009404" version="1.0.0.8" store="en-US" storeType="OMEX"/>
  </we:alternateReferences>
  <we:properties>
    <we:property name="claude.fileId" value="&quot;dc53b55f-2f9b-4f36-8812-ad9f40d34377&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40"/>
  <sheetViews>
    <sheetView showGridLines="0" zoomScale="89" workbookViewId="0">
      <selection activeCell="C6" sqref="C6"/>
    </sheetView>
  </sheetViews>
  <sheetFormatPr baseColWidth="10" defaultColWidth="8.83203125" defaultRowHeight="15" x14ac:dyDescent="0.2"/>
  <cols>
    <col min="1" max="1" width="36.33203125" customWidth="1"/>
    <col min="2" max="2" width="50.33203125" customWidth="1"/>
    <col min="3" max="3" width="88.6640625" customWidth="1"/>
    <col min="4" max="4" width="90.5" customWidth="1"/>
  </cols>
  <sheetData>
    <row r="1" spans="1:3" ht="36" customHeight="1" x14ac:dyDescent="0.2">
      <c r="A1" s="70" t="s">
        <v>463</v>
      </c>
      <c r="B1" s="70"/>
      <c r="C1" s="70"/>
    </row>
    <row r="2" spans="1:3" ht="20" customHeight="1" x14ac:dyDescent="0.2">
      <c r="A2" s="71" t="s">
        <v>78</v>
      </c>
      <c r="B2" s="71"/>
      <c r="C2" s="71"/>
    </row>
    <row r="4" spans="1:3" ht="18" customHeight="1" x14ac:dyDescent="0.2">
      <c r="A4" s="72" t="s">
        <v>341</v>
      </c>
      <c r="B4" s="72"/>
    </row>
    <row r="5" spans="1:3" ht="82" customHeight="1" x14ac:dyDescent="0.2">
      <c r="A5" s="68" t="s">
        <v>241</v>
      </c>
      <c r="B5" s="69"/>
    </row>
    <row r="6" spans="1:3" ht="87" customHeight="1" x14ac:dyDescent="0.2">
      <c r="A6" s="68" t="s">
        <v>323</v>
      </c>
      <c r="B6" s="69"/>
    </row>
    <row r="8" spans="1:3" ht="16" x14ac:dyDescent="0.2">
      <c r="A8" s="46" t="s">
        <v>322</v>
      </c>
      <c r="B8" s="47" t="s">
        <v>237</v>
      </c>
    </row>
    <row r="9" spans="1:3" ht="61.5" customHeight="1" x14ac:dyDescent="0.2">
      <c r="A9" s="49" t="s">
        <v>79</v>
      </c>
      <c r="B9" s="24" t="s">
        <v>80</v>
      </c>
    </row>
    <row r="11" spans="1:3" x14ac:dyDescent="0.2">
      <c r="A11" s="72" t="s">
        <v>82</v>
      </c>
      <c r="B11" s="73"/>
    </row>
    <row r="12" spans="1:3" ht="54" customHeight="1" x14ac:dyDescent="0.2">
      <c r="A12" s="68" t="s">
        <v>242</v>
      </c>
      <c r="B12" s="74"/>
    </row>
    <row r="13" spans="1:3" ht="51" customHeight="1" x14ac:dyDescent="0.2">
      <c r="A13" s="68" t="s">
        <v>243</v>
      </c>
      <c r="B13" s="69"/>
    </row>
    <row r="14" spans="1:3" ht="54" customHeight="1" x14ac:dyDescent="0.2">
      <c r="A14" s="68" t="s">
        <v>244</v>
      </c>
      <c r="B14" s="69"/>
    </row>
    <row r="15" spans="1:3" ht="35" customHeight="1" x14ac:dyDescent="0.2">
      <c r="A15" s="68" t="s">
        <v>431</v>
      </c>
      <c r="B15" s="69"/>
    </row>
    <row r="17" spans="1:3" ht="35" customHeight="1" x14ac:dyDescent="0.2">
      <c r="A17" s="65" t="s">
        <v>306</v>
      </c>
      <c r="B17" s="65"/>
      <c r="C17" s="65"/>
    </row>
    <row r="18" spans="1:3" ht="35" customHeight="1" x14ac:dyDescent="0.2">
      <c r="A18" s="50" t="s">
        <v>308</v>
      </c>
      <c r="B18" s="66" t="s">
        <v>315</v>
      </c>
      <c r="C18" s="66"/>
    </row>
    <row r="19" spans="1:3" ht="35" customHeight="1" x14ac:dyDescent="0.2">
      <c r="A19" s="50" t="s">
        <v>309</v>
      </c>
      <c r="B19" s="66" t="s">
        <v>316</v>
      </c>
      <c r="C19" s="66"/>
    </row>
    <row r="20" spans="1:3" ht="35" customHeight="1" x14ac:dyDescent="0.2">
      <c r="A20" s="50" t="s">
        <v>310</v>
      </c>
      <c r="B20" s="66" t="s">
        <v>321</v>
      </c>
      <c r="C20" s="66"/>
    </row>
    <row r="21" spans="1:3" ht="35" customHeight="1" x14ac:dyDescent="0.2">
      <c r="A21" s="50" t="s">
        <v>311</v>
      </c>
      <c r="B21" s="66" t="s">
        <v>317</v>
      </c>
      <c r="C21" s="66"/>
    </row>
    <row r="22" spans="1:3" ht="35" customHeight="1" x14ac:dyDescent="0.2">
      <c r="A22" s="50" t="s">
        <v>312</v>
      </c>
      <c r="B22" s="66" t="s">
        <v>318</v>
      </c>
      <c r="C22" s="66"/>
    </row>
    <row r="23" spans="1:3" ht="35" customHeight="1" x14ac:dyDescent="0.2">
      <c r="A23" s="50" t="s">
        <v>313</v>
      </c>
      <c r="B23" s="66" t="s">
        <v>319</v>
      </c>
      <c r="C23" s="66"/>
    </row>
    <row r="24" spans="1:3" ht="35" customHeight="1" x14ac:dyDescent="0.2">
      <c r="A24" s="50" t="s">
        <v>314</v>
      </c>
      <c r="B24" s="66" t="s">
        <v>320</v>
      </c>
      <c r="C24" s="66"/>
    </row>
    <row r="25" spans="1:3" ht="35" customHeight="1" x14ac:dyDescent="0.2">
      <c r="A25" s="67" t="s">
        <v>307</v>
      </c>
      <c r="B25" s="67"/>
      <c r="C25" s="67"/>
    </row>
    <row r="26" spans="1:3" ht="15" customHeight="1" x14ac:dyDescent="0.2"/>
    <row r="27" spans="1:3" ht="15" customHeight="1" x14ac:dyDescent="0.2">
      <c r="A27" s="63" t="s">
        <v>322</v>
      </c>
      <c r="B27" s="64"/>
      <c r="C27" s="64"/>
    </row>
    <row r="28" spans="1:3" ht="15" customHeight="1" x14ac:dyDescent="0.2">
      <c r="A28" s="1" t="s">
        <v>0</v>
      </c>
      <c r="B28" s="1" t="s">
        <v>73</v>
      </c>
      <c r="C28" s="1" t="s">
        <v>1</v>
      </c>
    </row>
    <row r="29" spans="1:3" ht="23.25" customHeight="1" x14ac:dyDescent="0.2">
      <c r="A29" s="25" t="s">
        <v>2</v>
      </c>
      <c r="B29" s="22" t="s">
        <v>3</v>
      </c>
      <c r="C29" s="23" t="s">
        <v>81</v>
      </c>
    </row>
    <row r="30" spans="1:3" ht="42.75" customHeight="1" x14ac:dyDescent="0.2">
      <c r="A30" s="26" t="s">
        <v>5</v>
      </c>
      <c r="B30" s="22" t="s">
        <v>6</v>
      </c>
      <c r="C30" s="15" t="s">
        <v>245</v>
      </c>
    </row>
    <row r="31" spans="1:3" ht="37.5" customHeight="1" x14ac:dyDescent="0.2">
      <c r="A31" s="27" t="s">
        <v>7</v>
      </c>
      <c r="B31" s="22" t="s">
        <v>34</v>
      </c>
      <c r="C31" s="15" t="s">
        <v>246</v>
      </c>
    </row>
    <row r="32" spans="1:3" ht="36" customHeight="1" x14ac:dyDescent="0.2">
      <c r="A32" s="28" t="s">
        <v>9</v>
      </c>
      <c r="B32" s="22" t="s">
        <v>74</v>
      </c>
      <c r="C32" s="15" t="s">
        <v>76</v>
      </c>
    </row>
    <row r="33" spans="1:3" ht="44.25" customHeight="1" x14ac:dyDescent="0.2">
      <c r="A33" s="29" t="s">
        <v>10</v>
      </c>
      <c r="B33" s="22" t="s">
        <v>75</v>
      </c>
      <c r="C33" s="15" t="s">
        <v>77</v>
      </c>
    </row>
    <row r="34" spans="1:3" ht="20.25" customHeight="1" x14ac:dyDescent="0.2"/>
    <row r="35" spans="1:3" x14ac:dyDescent="0.2">
      <c r="A35" s="64" t="s">
        <v>238</v>
      </c>
      <c r="B35" s="64"/>
      <c r="C35" s="64"/>
    </row>
    <row r="36" spans="1:3" x14ac:dyDescent="0.2">
      <c r="A36" s="1" t="s">
        <v>0</v>
      </c>
      <c r="B36" s="1" t="s">
        <v>73</v>
      </c>
      <c r="C36" s="1" t="s">
        <v>1</v>
      </c>
    </row>
    <row r="37" spans="1:3" ht="16" customHeight="1" x14ac:dyDescent="0.2">
      <c r="A37" s="16" t="s">
        <v>13</v>
      </c>
      <c r="B37" s="17" t="s">
        <v>11</v>
      </c>
      <c r="C37" s="18" t="s">
        <v>12</v>
      </c>
    </row>
    <row r="38" spans="1:3" ht="16" customHeight="1" x14ac:dyDescent="0.2">
      <c r="A38" s="19" t="s">
        <v>16</v>
      </c>
      <c r="B38" s="17" t="s">
        <v>14</v>
      </c>
      <c r="C38" s="18" t="s">
        <v>15</v>
      </c>
    </row>
    <row r="39" spans="1:3" ht="16" customHeight="1" x14ac:dyDescent="0.2">
      <c r="A39" s="20" t="s">
        <v>19</v>
      </c>
      <c r="B39" s="17" t="s">
        <v>17</v>
      </c>
      <c r="C39" s="18" t="s">
        <v>18</v>
      </c>
    </row>
    <row r="40" spans="1:3" ht="16" customHeight="1" x14ac:dyDescent="0.2">
      <c r="A40" s="21" t="s">
        <v>72</v>
      </c>
      <c r="B40" s="17" t="s">
        <v>20</v>
      </c>
      <c r="C40" s="18" t="s">
        <v>21</v>
      </c>
    </row>
  </sheetData>
  <mergeCells count="21">
    <mergeCell ref="A11:B11"/>
    <mergeCell ref="A12:B12"/>
    <mergeCell ref="A13:B13"/>
    <mergeCell ref="A14:B14"/>
    <mergeCell ref="A15:B15"/>
    <mergeCell ref="A6:B6"/>
    <mergeCell ref="A1:C1"/>
    <mergeCell ref="A2:C2"/>
    <mergeCell ref="A4:B4"/>
    <mergeCell ref="A5:B5"/>
    <mergeCell ref="A27:C27"/>
    <mergeCell ref="A35:C35"/>
    <mergeCell ref="A17:C17"/>
    <mergeCell ref="B23:C23"/>
    <mergeCell ref="B24:C24"/>
    <mergeCell ref="A25:C25"/>
    <mergeCell ref="B18:C18"/>
    <mergeCell ref="B19:C19"/>
    <mergeCell ref="B20:C20"/>
    <mergeCell ref="B21:C21"/>
    <mergeCell ref="B22:C22"/>
  </mergeCells>
  <phoneticPr fontId="27" type="noConversion"/>
  <pageMargins left="0.75" right="0.75" top="1" bottom="1" header="0.5" footer="0.5"/>
  <pageSetup paperSize="9" scale="49"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0D821-ED38-254F-BF68-BD6279A185EA}">
  <sheetPr>
    <pageSetUpPr fitToPage="1"/>
  </sheetPr>
  <dimension ref="A1:C66"/>
  <sheetViews>
    <sheetView showGridLines="0" zoomScale="106" workbookViewId="0">
      <selection activeCell="C10" sqref="C10"/>
    </sheetView>
  </sheetViews>
  <sheetFormatPr baseColWidth="10" defaultColWidth="11.5" defaultRowHeight="15" x14ac:dyDescent="0.2"/>
  <cols>
    <col min="1" max="1" width="3" customWidth="1"/>
    <col min="2" max="2" width="29.1640625" customWidth="1"/>
    <col min="3" max="3" width="60" customWidth="1"/>
  </cols>
  <sheetData>
    <row r="1" spans="1:3" ht="21" x14ac:dyDescent="0.2">
      <c r="A1" s="77" t="s">
        <v>342</v>
      </c>
      <c r="B1" s="77"/>
      <c r="C1" s="77"/>
    </row>
    <row r="2" spans="1:3" x14ac:dyDescent="0.2">
      <c r="A2" s="78" t="s">
        <v>445</v>
      </c>
      <c r="B2" s="78"/>
      <c r="C2" s="78"/>
    </row>
    <row r="4" spans="1:3" x14ac:dyDescent="0.2">
      <c r="A4" s="58" t="s">
        <v>343</v>
      </c>
      <c r="B4" s="59"/>
      <c r="C4" s="59"/>
    </row>
    <row r="5" spans="1:3" ht="39" x14ac:dyDescent="0.2">
      <c r="A5" s="75" t="s">
        <v>344</v>
      </c>
      <c r="B5" s="76"/>
      <c r="C5" s="60" t="s">
        <v>345</v>
      </c>
    </row>
    <row r="6" spans="1:3" ht="39" x14ac:dyDescent="0.2">
      <c r="A6" s="75" t="s">
        <v>346</v>
      </c>
      <c r="B6" s="76"/>
      <c r="C6" s="60" t="s">
        <v>347</v>
      </c>
    </row>
    <row r="7" spans="1:3" ht="39" x14ac:dyDescent="0.2">
      <c r="A7" s="75" t="s">
        <v>348</v>
      </c>
      <c r="B7" s="76"/>
      <c r="C7" s="60" t="s">
        <v>349</v>
      </c>
    </row>
    <row r="8" spans="1:3" ht="26" x14ac:dyDescent="0.2">
      <c r="A8" s="75" t="s">
        <v>350</v>
      </c>
      <c r="B8" s="76"/>
      <c r="C8" s="60" t="s">
        <v>351</v>
      </c>
    </row>
    <row r="9" spans="1:3" ht="39" x14ac:dyDescent="0.2">
      <c r="A9" s="75" t="s">
        <v>352</v>
      </c>
      <c r="B9" s="76"/>
      <c r="C9" s="60" t="s">
        <v>353</v>
      </c>
    </row>
    <row r="10" spans="1:3" ht="39" x14ac:dyDescent="0.2">
      <c r="A10" s="75" t="s">
        <v>354</v>
      </c>
      <c r="B10" s="76"/>
      <c r="C10" s="60" t="s">
        <v>355</v>
      </c>
    </row>
    <row r="11" spans="1:3" ht="26" x14ac:dyDescent="0.2">
      <c r="A11" s="75" t="s">
        <v>86</v>
      </c>
      <c r="B11" s="76"/>
      <c r="C11" s="60" t="s">
        <v>356</v>
      </c>
    </row>
    <row r="12" spans="1:3" x14ac:dyDescent="0.2">
      <c r="B12" s="61"/>
      <c r="C12" s="61"/>
    </row>
    <row r="13" spans="1:3" x14ac:dyDescent="0.2">
      <c r="A13" s="58" t="s">
        <v>357</v>
      </c>
      <c r="B13" s="62"/>
      <c r="C13" s="62"/>
    </row>
    <row r="14" spans="1:3" ht="26" x14ac:dyDescent="0.2">
      <c r="A14" s="75" t="s">
        <v>358</v>
      </c>
      <c r="B14" s="76"/>
      <c r="C14" s="60" t="s">
        <v>359</v>
      </c>
    </row>
    <row r="15" spans="1:3" ht="26" x14ac:dyDescent="0.2">
      <c r="A15" s="75" t="s">
        <v>360</v>
      </c>
      <c r="B15" s="76"/>
      <c r="C15" s="60" t="s">
        <v>361</v>
      </c>
    </row>
    <row r="16" spans="1:3" ht="26" x14ac:dyDescent="0.2">
      <c r="A16" s="75" t="s">
        <v>362</v>
      </c>
      <c r="B16" s="76"/>
      <c r="C16" s="60" t="s">
        <v>457</v>
      </c>
    </row>
    <row r="17" spans="1:3" ht="26" x14ac:dyDescent="0.2">
      <c r="A17" s="75" t="s">
        <v>62</v>
      </c>
      <c r="B17" s="76"/>
      <c r="C17" s="60" t="s">
        <v>458</v>
      </c>
    </row>
    <row r="18" spans="1:3" ht="26" x14ac:dyDescent="0.2">
      <c r="A18" s="75" t="s">
        <v>363</v>
      </c>
      <c r="B18" s="76"/>
      <c r="C18" s="60" t="s">
        <v>364</v>
      </c>
    </row>
    <row r="19" spans="1:3" ht="26" x14ac:dyDescent="0.2">
      <c r="A19" s="75" t="s">
        <v>365</v>
      </c>
      <c r="B19" s="76"/>
      <c r="C19" s="60" t="s">
        <v>366</v>
      </c>
    </row>
    <row r="20" spans="1:3" ht="26" x14ac:dyDescent="0.2">
      <c r="A20" s="75" t="s">
        <v>367</v>
      </c>
      <c r="B20" s="76"/>
      <c r="C20" s="60" t="s">
        <v>368</v>
      </c>
    </row>
    <row r="21" spans="1:3" x14ac:dyDescent="0.2">
      <c r="B21" s="61"/>
      <c r="C21" s="61"/>
    </row>
    <row r="22" spans="1:3" x14ac:dyDescent="0.2">
      <c r="A22" s="58" t="s">
        <v>446</v>
      </c>
      <c r="B22" s="62"/>
      <c r="C22" s="62"/>
    </row>
    <row r="23" spans="1:3" x14ac:dyDescent="0.2">
      <c r="A23" s="75" t="s">
        <v>448</v>
      </c>
      <c r="B23" s="76"/>
      <c r="C23" s="60" t="s">
        <v>369</v>
      </c>
    </row>
    <row r="24" spans="1:3" ht="26" x14ac:dyDescent="0.2">
      <c r="A24" s="75" t="s">
        <v>449</v>
      </c>
      <c r="B24" s="76"/>
      <c r="C24" s="60" t="s">
        <v>370</v>
      </c>
    </row>
    <row r="25" spans="1:3" ht="26" x14ac:dyDescent="0.2">
      <c r="A25" s="75" t="s">
        <v>450</v>
      </c>
      <c r="B25" s="76"/>
      <c r="C25" s="60" t="s">
        <v>371</v>
      </c>
    </row>
    <row r="26" spans="1:3" ht="26" x14ac:dyDescent="0.2">
      <c r="A26" s="75" t="s">
        <v>451</v>
      </c>
      <c r="B26" s="76"/>
      <c r="C26" s="60" t="s">
        <v>372</v>
      </c>
    </row>
    <row r="27" spans="1:3" ht="26" x14ac:dyDescent="0.2">
      <c r="A27" s="75" t="s">
        <v>452</v>
      </c>
      <c r="B27" s="76"/>
      <c r="C27" s="60" t="s">
        <v>373</v>
      </c>
    </row>
    <row r="28" spans="1:3" x14ac:dyDescent="0.2">
      <c r="B28" s="61"/>
      <c r="C28" s="61"/>
    </row>
    <row r="29" spans="1:3" x14ac:dyDescent="0.2">
      <c r="A29" s="58" t="s">
        <v>447</v>
      </c>
      <c r="B29" s="62"/>
      <c r="C29" s="62"/>
    </row>
    <row r="30" spans="1:3" x14ac:dyDescent="0.2">
      <c r="A30" s="75" t="s">
        <v>453</v>
      </c>
      <c r="B30" s="76"/>
      <c r="C30" s="60" t="s">
        <v>374</v>
      </c>
    </row>
    <row r="31" spans="1:3" x14ac:dyDescent="0.2">
      <c r="A31" s="75" t="s">
        <v>454</v>
      </c>
      <c r="B31" s="76"/>
      <c r="C31" s="60" t="s">
        <v>375</v>
      </c>
    </row>
    <row r="32" spans="1:3" x14ac:dyDescent="0.2">
      <c r="A32" s="75" t="s">
        <v>455</v>
      </c>
      <c r="B32" s="76"/>
      <c r="C32" s="60" t="s">
        <v>376</v>
      </c>
    </row>
    <row r="33" spans="1:3" x14ac:dyDescent="0.2">
      <c r="A33" s="75" t="s">
        <v>456</v>
      </c>
      <c r="B33" s="76"/>
      <c r="C33" s="60" t="s">
        <v>377</v>
      </c>
    </row>
    <row r="34" spans="1:3" x14ac:dyDescent="0.2">
      <c r="B34" s="61"/>
      <c r="C34" s="61"/>
    </row>
    <row r="35" spans="1:3" x14ac:dyDescent="0.2">
      <c r="A35" s="58" t="s">
        <v>378</v>
      </c>
      <c r="B35" s="62"/>
      <c r="C35" s="62"/>
    </row>
    <row r="36" spans="1:3" ht="26" x14ac:dyDescent="0.2">
      <c r="A36" s="75" t="s">
        <v>379</v>
      </c>
      <c r="B36" s="76"/>
      <c r="C36" s="60" t="s">
        <v>380</v>
      </c>
    </row>
    <row r="37" spans="1:3" ht="26" x14ac:dyDescent="0.2">
      <c r="A37" s="75" t="s">
        <v>381</v>
      </c>
      <c r="B37" s="76"/>
      <c r="C37" s="60" t="s">
        <v>382</v>
      </c>
    </row>
    <row r="38" spans="1:3" ht="26" x14ac:dyDescent="0.2">
      <c r="A38" s="75" t="s">
        <v>383</v>
      </c>
      <c r="B38" s="76"/>
      <c r="C38" s="60" t="s">
        <v>384</v>
      </c>
    </row>
    <row r="39" spans="1:3" ht="26" x14ac:dyDescent="0.2">
      <c r="A39" s="75" t="s">
        <v>385</v>
      </c>
      <c r="B39" s="76"/>
      <c r="C39" s="60" t="s">
        <v>386</v>
      </c>
    </row>
    <row r="40" spans="1:3" ht="26" x14ac:dyDescent="0.2">
      <c r="A40" s="75" t="s">
        <v>387</v>
      </c>
      <c r="B40" s="76"/>
      <c r="C40" s="60" t="s">
        <v>388</v>
      </c>
    </row>
    <row r="41" spans="1:3" ht="26" x14ac:dyDescent="0.2">
      <c r="A41" s="75" t="s">
        <v>389</v>
      </c>
      <c r="B41" s="76"/>
      <c r="C41" s="60" t="s">
        <v>390</v>
      </c>
    </row>
    <row r="42" spans="1:3" ht="26" x14ac:dyDescent="0.2">
      <c r="A42" s="75" t="s">
        <v>391</v>
      </c>
      <c r="B42" s="76"/>
      <c r="C42" s="60" t="s">
        <v>392</v>
      </c>
    </row>
    <row r="43" spans="1:3" ht="26" x14ac:dyDescent="0.2">
      <c r="A43" s="75" t="s">
        <v>393</v>
      </c>
      <c r="B43" s="76"/>
      <c r="C43" s="60" t="s">
        <v>394</v>
      </c>
    </row>
    <row r="44" spans="1:3" x14ac:dyDescent="0.2">
      <c r="C44" s="61"/>
    </row>
    <row r="45" spans="1:3" x14ac:dyDescent="0.2">
      <c r="A45" s="58" t="s">
        <v>395</v>
      </c>
      <c r="B45" s="62"/>
      <c r="C45" s="62"/>
    </row>
    <row r="46" spans="1:3" ht="26" x14ac:dyDescent="0.2">
      <c r="A46" s="75" t="s">
        <v>396</v>
      </c>
      <c r="B46" s="76"/>
      <c r="C46" s="60" t="s">
        <v>459</v>
      </c>
    </row>
    <row r="47" spans="1:3" ht="26" x14ac:dyDescent="0.2">
      <c r="A47" s="75" t="s">
        <v>397</v>
      </c>
      <c r="B47" s="76"/>
      <c r="C47" s="60" t="s">
        <v>398</v>
      </c>
    </row>
    <row r="48" spans="1:3" ht="26" x14ac:dyDescent="0.2">
      <c r="A48" s="75" t="s">
        <v>399</v>
      </c>
      <c r="B48" s="76"/>
      <c r="C48" s="60" t="s">
        <v>400</v>
      </c>
    </row>
    <row r="49" spans="1:3" ht="39" x14ac:dyDescent="0.2">
      <c r="A49" s="75" t="s">
        <v>401</v>
      </c>
      <c r="B49" s="76"/>
      <c r="C49" s="60" t="s">
        <v>402</v>
      </c>
    </row>
    <row r="50" spans="1:3" ht="26" x14ac:dyDescent="0.2">
      <c r="A50" s="75" t="s">
        <v>403</v>
      </c>
      <c r="B50" s="76"/>
      <c r="C50" s="60" t="s">
        <v>404</v>
      </c>
    </row>
    <row r="51" spans="1:3" ht="26" x14ac:dyDescent="0.2">
      <c r="A51" s="75" t="s">
        <v>405</v>
      </c>
      <c r="B51" s="76"/>
      <c r="C51" s="60" t="s">
        <v>406</v>
      </c>
    </row>
    <row r="52" spans="1:3" ht="26" x14ac:dyDescent="0.2">
      <c r="A52" s="75" t="s">
        <v>407</v>
      </c>
      <c r="B52" s="76"/>
      <c r="C52" s="60" t="s">
        <v>408</v>
      </c>
    </row>
    <row r="53" spans="1:3" ht="26" x14ac:dyDescent="0.2">
      <c r="A53" s="75" t="s">
        <v>409</v>
      </c>
      <c r="B53" s="76"/>
      <c r="C53" s="60" t="s">
        <v>460</v>
      </c>
    </row>
    <row r="54" spans="1:3" x14ac:dyDescent="0.2">
      <c r="B54" s="61"/>
      <c r="C54" s="61"/>
    </row>
    <row r="55" spans="1:3" x14ac:dyDescent="0.2">
      <c r="A55" s="58" t="s">
        <v>410</v>
      </c>
      <c r="B55" s="62"/>
      <c r="C55" s="62"/>
    </row>
    <row r="56" spans="1:3" ht="26" customHeight="1" x14ac:dyDescent="0.2">
      <c r="A56" s="75" t="s">
        <v>411</v>
      </c>
      <c r="B56" s="76"/>
      <c r="C56" s="60" t="s">
        <v>412</v>
      </c>
    </row>
    <row r="57" spans="1:3" ht="26" x14ac:dyDescent="0.2">
      <c r="A57" s="75" t="s">
        <v>413</v>
      </c>
      <c r="B57" s="76"/>
      <c r="C57" s="60" t="s">
        <v>461</v>
      </c>
    </row>
    <row r="58" spans="1:3" ht="26" x14ac:dyDescent="0.2">
      <c r="A58" s="75" t="s">
        <v>414</v>
      </c>
      <c r="B58" s="76"/>
      <c r="C58" s="60" t="s">
        <v>415</v>
      </c>
    </row>
    <row r="59" spans="1:3" ht="26" x14ac:dyDescent="0.2">
      <c r="A59" s="75" t="s">
        <v>416</v>
      </c>
      <c r="B59" s="76"/>
      <c r="C59" s="60" t="s">
        <v>417</v>
      </c>
    </row>
    <row r="60" spans="1:3" ht="26" x14ac:dyDescent="0.2">
      <c r="A60" s="75" t="s">
        <v>418</v>
      </c>
      <c r="B60" s="76"/>
      <c r="C60" s="60" t="s">
        <v>419</v>
      </c>
    </row>
    <row r="61" spans="1:3" ht="26" x14ac:dyDescent="0.2">
      <c r="A61" s="75" t="s">
        <v>420</v>
      </c>
      <c r="B61" s="76"/>
      <c r="C61" s="60" t="s">
        <v>462</v>
      </c>
    </row>
    <row r="62" spans="1:3" x14ac:dyDescent="0.2">
      <c r="B62" s="61"/>
      <c r="C62" s="61"/>
    </row>
    <row r="63" spans="1:3" x14ac:dyDescent="0.2">
      <c r="A63" s="58" t="s">
        <v>421</v>
      </c>
      <c r="B63" s="62"/>
      <c r="C63" s="62"/>
    </row>
    <row r="64" spans="1:3" ht="26" x14ac:dyDescent="0.2">
      <c r="A64" s="75" t="s">
        <v>422</v>
      </c>
      <c r="B64" s="76"/>
      <c r="C64" s="60" t="s">
        <v>423</v>
      </c>
    </row>
    <row r="65" spans="1:3" x14ac:dyDescent="0.2">
      <c r="A65" s="75" t="s">
        <v>424</v>
      </c>
      <c r="B65" s="76"/>
      <c r="C65" s="60" t="s">
        <v>425</v>
      </c>
    </row>
    <row r="66" spans="1:3" ht="26" x14ac:dyDescent="0.2">
      <c r="A66" s="75" t="s">
        <v>426</v>
      </c>
      <c r="B66" s="76"/>
      <c r="C66" s="60" t="s">
        <v>427</v>
      </c>
    </row>
  </sheetData>
  <mergeCells count="50">
    <mergeCell ref="A17:B17"/>
    <mergeCell ref="A18:B18"/>
    <mergeCell ref="A10:B10"/>
    <mergeCell ref="A11:B11"/>
    <mergeCell ref="A14:B14"/>
    <mergeCell ref="A15:B15"/>
    <mergeCell ref="A16:B16"/>
    <mergeCell ref="A5:B5"/>
    <mergeCell ref="A6:B6"/>
    <mergeCell ref="A7:B7"/>
    <mergeCell ref="A8:B8"/>
    <mergeCell ref="A9:B9"/>
    <mergeCell ref="A65:B65"/>
    <mergeCell ref="A66:B66"/>
    <mergeCell ref="A30:B30"/>
    <mergeCell ref="A31:B31"/>
    <mergeCell ref="A32:B32"/>
    <mergeCell ref="A33:B33"/>
    <mergeCell ref="A39:B39"/>
    <mergeCell ref="A40:B40"/>
    <mergeCell ref="A41:B41"/>
    <mergeCell ref="A42:B42"/>
    <mergeCell ref="A43:B43"/>
    <mergeCell ref="A64:B64"/>
    <mergeCell ref="A59:B59"/>
    <mergeCell ref="A60:B60"/>
    <mergeCell ref="A61:B61"/>
    <mergeCell ref="A46:B46"/>
    <mergeCell ref="A1:C1"/>
    <mergeCell ref="A2:C2"/>
    <mergeCell ref="A56:B56"/>
    <mergeCell ref="A57:B57"/>
    <mergeCell ref="A47:B47"/>
    <mergeCell ref="A48:B48"/>
    <mergeCell ref="A49:B49"/>
    <mergeCell ref="A50:B50"/>
    <mergeCell ref="A51:B51"/>
    <mergeCell ref="A23:B23"/>
    <mergeCell ref="A24:B24"/>
    <mergeCell ref="A25:B25"/>
    <mergeCell ref="A26:B26"/>
    <mergeCell ref="A27:B27"/>
    <mergeCell ref="A19:B19"/>
    <mergeCell ref="A20:B20"/>
    <mergeCell ref="A58:B58"/>
    <mergeCell ref="A53:B53"/>
    <mergeCell ref="A36:B36"/>
    <mergeCell ref="A37:B37"/>
    <mergeCell ref="A38:B38"/>
    <mergeCell ref="A52:B52"/>
  </mergeCells>
  <pageMargins left="0.7" right="0.7" top="0.75" bottom="0.75" header="0.3" footer="0.3"/>
  <pageSetup paperSize="9" scale="94"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44"/>
  <sheetViews>
    <sheetView showGridLines="0" tabSelected="1" topLeftCell="A7" zoomScale="101" workbookViewId="0">
      <selection activeCell="G17" sqref="G17"/>
    </sheetView>
  </sheetViews>
  <sheetFormatPr baseColWidth="10" defaultColWidth="8.83203125" defaultRowHeight="15" x14ac:dyDescent="0.2"/>
  <cols>
    <col min="1" max="1" width="5" customWidth="1"/>
    <col min="2" max="2" width="21" customWidth="1"/>
    <col min="3" max="3" width="55" customWidth="1"/>
    <col min="4" max="4" width="54.6640625" customWidth="1"/>
    <col min="5" max="5" width="43.5" customWidth="1"/>
    <col min="6" max="7" width="20" customWidth="1"/>
  </cols>
  <sheetData>
    <row r="1" spans="1:7" ht="30" customHeight="1" x14ac:dyDescent="0.2">
      <c r="A1" s="98" t="s">
        <v>83</v>
      </c>
      <c r="B1" s="99"/>
      <c r="C1" s="99"/>
      <c r="D1" s="99"/>
      <c r="E1" s="99"/>
      <c r="F1" s="99"/>
      <c r="G1" s="99"/>
    </row>
    <row r="2" spans="1:7" ht="28.5" customHeight="1" x14ac:dyDescent="0.2">
      <c r="A2" s="96" t="s">
        <v>84</v>
      </c>
      <c r="B2" s="97"/>
      <c r="C2" s="106" t="s">
        <v>434</v>
      </c>
      <c r="D2" s="107"/>
      <c r="E2" s="107"/>
      <c r="F2" s="107"/>
      <c r="G2" s="107"/>
    </row>
    <row r="3" spans="1:7" x14ac:dyDescent="0.2">
      <c r="A3" s="104" t="s">
        <v>85</v>
      </c>
      <c r="B3" s="105"/>
      <c r="C3" s="102" t="s">
        <v>324</v>
      </c>
      <c r="D3" s="103"/>
      <c r="E3" s="103"/>
      <c r="F3" s="103"/>
      <c r="G3" s="103"/>
    </row>
    <row r="4" spans="1:7" x14ac:dyDescent="0.2">
      <c r="A4" s="101" t="s">
        <v>86</v>
      </c>
      <c r="B4" s="101"/>
      <c r="C4" s="100" t="s">
        <v>433</v>
      </c>
      <c r="D4" s="100"/>
      <c r="E4" s="100"/>
      <c r="F4" s="100"/>
      <c r="G4" s="100"/>
    </row>
    <row r="6" spans="1:7" ht="22" customHeight="1" x14ac:dyDescent="0.2">
      <c r="A6" s="81" t="s">
        <v>240</v>
      </c>
      <c r="B6" s="82"/>
      <c r="C6" s="82"/>
      <c r="D6" s="82"/>
      <c r="E6" s="82"/>
      <c r="F6" s="82"/>
      <c r="G6" s="82"/>
    </row>
    <row r="7" spans="1:7" ht="16" customHeight="1" x14ac:dyDescent="0.2">
      <c r="A7" s="88" t="s">
        <v>22</v>
      </c>
      <c r="B7" s="89"/>
      <c r="C7" s="2" t="s">
        <v>23</v>
      </c>
      <c r="D7" s="30" t="s">
        <v>92</v>
      </c>
      <c r="E7" s="30" t="s">
        <v>24</v>
      </c>
    </row>
    <row r="8" spans="1:7" ht="26" x14ac:dyDescent="0.2">
      <c r="A8" s="92">
        <v>1.1000000000000001</v>
      </c>
      <c r="B8" s="93"/>
      <c r="C8" s="3" t="s">
        <v>25</v>
      </c>
      <c r="D8" s="4"/>
      <c r="E8" s="5"/>
    </row>
    <row r="9" spans="1:7" ht="39" x14ac:dyDescent="0.2">
      <c r="A9" s="94">
        <v>1.2</v>
      </c>
      <c r="B9" s="95"/>
      <c r="C9" s="5" t="s">
        <v>26</v>
      </c>
      <c r="D9" s="4"/>
      <c r="E9" s="5"/>
    </row>
    <row r="10" spans="1:7" ht="26" x14ac:dyDescent="0.2">
      <c r="A10" s="92">
        <v>1.3</v>
      </c>
      <c r="B10" s="93"/>
      <c r="C10" s="3" t="s">
        <v>27</v>
      </c>
      <c r="D10" s="4"/>
      <c r="E10" s="5"/>
    </row>
    <row r="11" spans="1:7" ht="26" x14ac:dyDescent="0.2">
      <c r="A11" s="94">
        <v>1.4</v>
      </c>
      <c r="B11" s="95"/>
      <c r="C11" s="5" t="s">
        <v>28</v>
      </c>
      <c r="D11" s="4"/>
      <c r="E11" s="5"/>
    </row>
    <row r="12" spans="1:7" ht="31.5" customHeight="1" x14ac:dyDescent="0.2">
      <c r="A12" s="92">
        <v>1.5</v>
      </c>
      <c r="B12" s="93"/>
      <c r="C12" s="3" t="s">
        <v>29</v>
      </c>
      <c r="D12" s="4"/>
      <c r="E12" s="5"/>
    </row>
    <row r="14" spans="1:7" ht="22" customHeight="1" x14ac:dyDescent="0.2">
      <c r="A14" s="81" t="s">
        <v>322</v>
      </c>
      <c r="B14" s="82"/>
      <c r="C14" s="82"/>
      <c r="D14" s="82"/>
      <c r="E14" s="82"/>
      <c r="F14" s="82"/>
      <c r="G14" s="82"/>
    </row>
    <row r="15" spans="1:7" ht="16" customHeight="1" x14ac:dyDescent="0.2">
      <c r="A15" s="90" t="s">
        <v>30</v>
      </c>
      <c r="B15" s="73"/>
      <c r="C15" s="73"/>
      <c r="D15" s="73"/>
      <c r="E15" s="73"/>
      <c r="F15" s="73"/>
      <c r="G15" s="73"/>
    </row>
    <row r="16" spans="1:7" ht="16" customHeight="1" x14ac:dyDescent="0.2">
      <c r="A16" s="86" t="s">
        <v>0</v>
      </c>
      <c r="B16" s="87"/>
      <c r="C16" s="2" t="s">
        <v>31</v>
      </c>
      <c r="D16" s="2" t="s">
        <v>32</v>
      </c>
      <c r="E16" s="30" t="s">
        <v>89</v>
      </c>
      <c r="F16" s="2" t="s">
        <v>33</v>
      </c>
      <c r="G16" s="30" t="s">
        <v>24</v>
      </c>
    </row>
    <row r="17" spans="1:7" ht="90.75" customHeight="1" x14ac:dyDescent="0.2">
      <c r="A17" s="33" t="s">
        <v>2</v>
      </c>
      <c r="B17" s="32" t="s">
        <v>3</v>
      </c>
      <c r="C17" s="42" t="s">
        <v>87</v>
      </c>
      <c r="D17" s="31" t="s">
        <v>94</v>
      </c>
      <c r="E17" s="43" t="s">
        <v>90</v>
      </c>
      <c r="F17" s="6"/>
      <c r="G17" s="5"/>
    </row>
    <row r="18" spans="1:7" ht="168" customHeight="1" x14ac:dyDescent="0.2">
      <c r="A18" s="35" t="s">
        <v>5</v>
      </c>
      <c r="B18" s="34" t="s">
        <v>6</v>
      </c>
      <c r="C18" s="42" t="s">
        <v>88</v>
      </c>
      <c r="D18" s="31" t="s">
        <v>440</v>
      </c>
      <c r="E18" s="43" t="s">
        <v>465</v>
      </c>
      <c r="F18" s="6"/>
      <c r="G18" s="5"/>
    </row>
    <row r="19" spans="1:7" ht="172.5" customHeight="1" x14ac:dyDescent="0.2">
      <c r="A19" s="36" t="s">
        <v>7</v>
      </c>
      <c r="B19" s="39" t="s">
        <v>34</v>
      </c>
      <c r="C19" s="42" t="s">
        <v>91</v>
      </c>
      <c r="D19" s="31" t="s">
        <v>95</v>
      </c>
      <c r="E19" s="43" t="s">
        <v>428</v>
      </c>
      <c r="F19" s="6"/>
      <c r="G19" s="5"/>
    </row>
    <row r="20" spans="1:7" ht="265.5" customHeight="1" x14ac:dyDescent="0.2">
      <c r="A20" s="37" t="s">
        <v>9</v>
      </c>
      <c r="B20" s="40" t="s">
        <v>74</v>
      </c>
      <c r="C20" s="42" t="s">
        <v>96</v>
      </c>
      <c r="D20" s="31" t="s">
        <v>97</v>
      </c>
      <c r="E20" s="43" t="s">
        <v>98</v>
      </c>
      <c r="F20" s="6"/>
      <c r="G20" s="5"/>
    </row>
    <row r="21" spans="1:7" ht="206.25" customHeight="1" x14ac:dyDescent="0.2">
      <c r="A21" s="38" t="s">
        <v>10</v>
      </c>
      <c r="B21" s="41" t="s">
        <v>75</v>
      </c>
      <c r="C21" s="42" t="s">
        <v>100</v>
      </c>
      <c r="D21" s="31" t="s">
        <v>101</v>
      </c>
      <c r="E21" s="43" t="s">
        <v>99</v>
      </c>
      <c r="F21" s="6"/>
      <c r="G21" s="5"/>
    </row>
    <row r="22" spans="1:7" ht="42.75" customHeight="1" x14ac:dyDescent="0.2">
      <c r="A22" s="91" t="s">
        <v>35</v>
      </c>
      <c r="B22" s="73"/>
      <c r="C22" s="7" t="s">
        <v>36</v>
      </c>
      <c r="D22" s="8" t="str" cm="1">
        <f t="array" ref="D22">IFERROR(LOOKUP(2,1/(F17:F21&lt;&gt;""),{1;2;3;4;5}),"")</f>
        <v/>
      </c>
      <c r="E22" s="84" t="s">
        <v>37</v>
      </c>
      <c r="F22" s="85"/>
      <c r="G22" s="85"/>
    </row>
    <row r="24" spans="1:7" ht="22" customHeight="1" x14ac:dyDescent="0.2">
      <c r="A24" s="81" t="s">
        <v>238</v>
      </c>
      <c r="B24" s="82"/>
      <c r="C24" s="82"/>
      <c r="D24" s="82"/>
      <c r="E24" s="82"/>
      <c r="F24" s="82"/>
      <c r="G24" s="82"/>
    </row>
    <row r="25" spans="1:7" ht="16" customHeight="1" x14ac:dyDescent="0.2">
      <c r="A25" s="83" t="s">
        <v>38</v>
      </c>
      <c r="B25" s="73"/>
      <c r="C25" s="73"/>
      <c r="D25" s="73"/>
      <c r="E25" s="73"/>
      <c r="F25" s="73"/>
      <c r="G25" s="73"/>
    </row>
    <row r="26" spans="1:7" ht="16" customHeight="1" x14ac:dyDescent="0.2">
      <c r="A26" s="2"/>
      <c r="B26" s="2" t="s">
        <v>0</v>
      </c>
      <c r="C26" s="30" t="s">
        <v>143</v>
      </c>
      <c r="D26" s="30" t="s">
        <v>39</v>
      </c>
      <c r="E26" s="30" t="s">
        <v>93</v>
      </c>
      <c r="F26" s="2" t="s">
        <v>33</v>
      </c>
      <c r="G26" s="30" t="s">
        <v>24</v>
      </c>
    </row>
    <row r="27" spans="1:7" ht="120" customHeight="1" x14ac:dyDescent="0.2">
      <c r="A27" s="33" t="s">
        <v>13</v>
      </c>
      <c r="B27" s="32" t="s">
        <v>11</v>
      </c>
      <c r="C27" s="42" t="s">
        <v>102</v>
      </c>
      <c r="D27" s="31" t="s">
        <v>103</v>
      </c>
      <c r="E27" s="43" t="s">
        <v>429</v>
      </c>
      <c r="F27" s="51"/>
      <c r="G27" s="5"/>
    </row>
    <row r="28" spans="1:7" ht="126" customHeight="1" x14ac:dyDescent="0.2">
      <c r="A28" s="35" t="s">
        <v>16</v>
      </c>
      <c r="B28" s="34" t="s">
        <v>14</v>
      </c>
      <c r="C28" s="42" t="s">
        <v>104</v>
      </c>
      <c r="D28" s="31" t="s">
        <v>105</v>
      </c>
      <c r="E28" s="43" t="s">
        <v>106</v>
      </c>
      <c r="F28" s="6"/>
      <c r="G28" s="5"/>
    </row>
    <row r="29" spans="1:7" ht="140.25" customHeight="1" x14ac:dyDescent="0.2">
      <c r="A29" s="37" t="s">
        <v>19</v>
      </c>
      <c r="B29" s="40" t="s">
        <v>17</v>
      </c>
      <c r="C29" s="42" t="s">
        <v>107</v>
      </c>
      <c r="D29" s="5" t="s">
        <v>247</v>
      </c>
      <c r="E29" s="43" t="s">
        <v>248</v>
      </c>
      <c r="F29" s="6"/>
      <c r="G29" s="5"/>
    </row>
    <row r="30" spans="1:7" ht="120.75" customHeight="1" x14ac:dyDescent="0.2">
      <c r="A30" s="38" t="s">
        <v>72</v>
      </c>
      <c r="B30" s="41" t="s">
        <v>20</v>
      </c>
      <c r="C30" s="42" t="s">
        <v>432</v>
      </c>
      <c r="D30" s="31" t="s">
        <v>108</v>
      </c>
      <c r="E30" s="43" t="s">
        <v>249</v>
      </c>
      <c r="F30" s="6"/>
      <c r="G30" s="5"/>
    </row>
    <row r="31" spans="1:7" ht="48" customHeight="1" x14ac:dyDescent="0.2">
      <c r="A31" s="79" t="s">
        <v>109</v>
      </c>
      <c r="B31" s="73"/>
      <c r="C31" s="7" t="s">
        <v>41</v>
      </c>
      <c r="D31" s="8" t="str" cm="1">
        <f t="array" ref="D31">IFERROR(LOOKUP(2,1/(F27:F30&lt;&gt;""),{1;2;3;4}),"")</f>
        <v/>
      </c>
      <c r="E31" s="80" t="s">
        <v>37</v>
      </c>
      <c r="F31" s="73"/>
      <c r="G31" s="73"/>
    </row>
    <row r="33" spans="1:7" ht="16" x14ac:dyDescent="0.2">
      <c r="A33" s="108" t="s">
        <v>266</v>
      </c>
      <c r="B33" s="108"/>
      <c r="C33" s="108"/>
      <c r="D33" s="108"/>
      <c r="E33" s="108"/>
      <c r="F33" s="108"/>
      <c r="G33" s="108"/>
    </row>
    <row r="34" spans="1:7" x14ac:dyDescent="0.2">
      <c r="A34" s="109" t="s">
        <v>261</v>
      </c>
      <c r="B34" s="109"/>
      <c r="C34" s="109" t="s">
        <v>262</v>
      </c>
      <c r="D34" s="109"/>
      <c r="E34" s="109"/>
      <c r="F34" s="109"/>
      <c r="G34" s="109"/>
    </row>
    <row r="35" spans="1:7" x14ac:dyDescent="0.2">
      <c r="A35" s="110" t="s">
        <v>263</v>
      </c>
      <c r="B35" s="110"/>
      <c r="C35" s="111" t="s">
        <v>269</v>
      </c>
      <c r="D35" s="111"/>
      <c r="E35" s="111"/>
      <c r="F35" s="111"/>
      <c r="G35" s="111"/>
    </row>
    <row r="36" spans="1:7" x14ac:dyDescent="0.2">
      <c r="A36" s="110" t="s">
        <v>7</v>
      </c>
      <c r="B36" s="110"/>
      <c r="C36" s="111" t="s">
        <v>300</v>
      </c>
      <c r="D36" s="111"/>
      <c r="E36" s="111"/>
      <c r="F36" s="111"/>
      <c r="G36" s="111"/>
    </row>
    <row r="37" spans="1:7" x14ac:dyDescent="0.2">
      <c r="A37" s="110" t="s">
        <v>9</v>
      </c>
      <c r="B37" s="110"/>
      <c r="C37" s="111" t="s">
        <v>301</v>
      </c>
      <c r="D37" s="111"/>
      <c r="E37" s="111"/>
      <c r="F37" s="111"/>
      <c r="G37" s="111"/>
    </row>
    <row r="38" spans="1:7" x14ac:dyDescent="0.2">
      <c r="A38" s="110" t="s">
        <v>10</v>
      </c>
      <c r="B38" s="110"/>
      <c r="C38" s="111" t="s">
        <v>302</v>
      </c>
      <c r="D38" s="111"/>
      <c r="E38" s="111"/>
      <c r="F38" s="111"/>
      <c r="G38" s="111"/>
    </row>
    <row r="40" spans="1:7" x14ac:dyDescent="0.2">
      <c r="A40" s="109" t="s">
        <v>265</v>
      </c>
      <c r="B40" s="109"/>
      <c r="C40" s="109" t="s">
        <v>262</v>
      </c>
      <c r="D40" s="109"/>
      <c r="E40" s="109"/>
      <c r="F40" s="109"/>
      <c r="G40" s="109"/>
    </row>
    <row r="41" spans="1:7" x14ac:dyDescent="0.2">
      <c r="A41" s="110" t="s">
        <v>13</v>
      </c>
      <c r="B41" s="110"/>
      <c r="C41" s="111" t="s">
        <v>430</v>
      </c>
      <c r="D41" s="111"/>
      <c r="E41" s="111"/>
      <c r="F41" s="111"/>
      <c r="G41" s="111"/>
    </row>
    <row r="42" spans="1:7" x14ac:dyDescent="0.2">
      <c r="A42" s="110" t="s">
        <v>16</v>
      </c>
      <c r="B42" s="110"/>
      <c r="C42" s="111" t="s">
        <v>303</v>
      </c>
      <c r="D42" s="111"/>
      <c r="E42" s="111"/>
      <c r="F42" s="111"/>
      <c r="G42" s="111"/>
    </row>
    <row r="43" spans="1:7" x14ac:dyDescent="0.2">
      <c r="A43" s="110" t="s">
        <v>19</v>
      </c>
      <c r="B43" s="110"/>
      <c r="C43" s="111" t="s">
        <v>304</v>
      </c>
      <c r="D43" s="111"/>
      <c r="E43" s="111"/>
      <c r="F43" s="111"/>
      <c r="G43" s="111"/>
    </row>
    <row r="44" spans="1:7" x14ac:dyDescent="0.2">
      <c r="A44" s="110" t="s">
        <v>72</v>
      </c>
      <c r="B44" s="110"/>
      <c r="C44" s="111" t="s">
        <v>305</v>
      </c>
      <c r="D44" s="111"/>
      <c r="E44" s="111"/>
      <c r="F44" s="111"/>
      <c r="G44" s="111"/>
    </row>
  </sheetData>
  <mergeCells count="44">
    <mergeCell ref="A43:B43"/>
    <mergeCell ref="C43:G43"/>
    <mergeCell ref="A44:B44"/>
    <mergeCell ref="C44:G44"/>
    <mergeCell ref="A40:B40"/>
    <mergeCell ref="C40:G40"/>
    <mergeCell ref="A41:B41"/>
    <mergeCell ref="C41:G41"/>
    <mergeCell ref="A42:B42"/>
    <mergeCell ref="C42:G42"/>
    <mergeCell ref="A36:B36"/>
    <mergeCell ref="C36:G36"/>
    <mergeCell ref="A37:B37"/>
    <mergeCell ref="C37:G37"/>
    <mergeCell ref="A38:B38"/>
    <mergeCell ref="C38:G38"/>
    <mergeCell ref="A33:G33"/>
    <mergeCell ref="A34:B34"/>
    <mergeCell ref="C34:G34"/>
    <mergeCell ref="A35:B35"/>
    <mergeCell ref="C35:G35"/>
    <mergeCell ref="A2:B2"/>
    <mergeCell ref="A1:G1"/>
    <mergeCell ref="C4:G4"/>
    <mergeCell ref="A4:B4"/>
    <mergeCell ref="C3:G3"/>
    <mergeCell ref="A3:B3"/>
    <mergeCell ref="C2:G2"/>
    <mergeCell ref="A31:B31"/>
    <mergeCell ref="E31:G31"/>
    <mergeCell ref="A6:G6"/>
    <mergeCell ref="A25:G25"/>
    <mergeCell ref="E22:G22"/>
    <mergeCell ref="A24:G24"/>
    <mergeCell ref="A16:B16"/>
    <mergeCell ref="A7:B7"/>
    <mergeCell ref="A14:G14"/>
    <mergeCell ref="A15:G15"/>
    <mergeCell ref="A22:B22"/>
    <mergeCell ref="A8:B8"/>
    <mergeCell ref="A9:B9"/>
    <mergeCell ref="A10:B10"/>
    <mergeCell ref="A11:B11"/>
    <mergeCell ref="A12:B12"/>
  </mergeCells>
  <phoneticPr fontId="27" type="noConversion"/>
  <dataValidations count="2">
    <dataValidation type="list" allowBlank="1" sqref="D8:D12" xr:uid="{00000000-0002-0000-0100-000000000000}">
      <formula1>"Yes,No"</formula1>
    </dataValidation>
    <dataValidation type="list" allowBlank="1" showInputMessage="1" showErrorMessage="1" sqref="F17:F21 F27:F30" xr:uid="{5F765202-A9C1-A849-BE76-24DFF71FAA5A}">
      <formula1>"✓,"</formula1>
    </dataValidation>
  </dataValidations>
  <pageMargins left="0.75" right="0.75" top="1" bottom="1" header="0.5" footer="0.5"/>
  <pageSetup paperSize="9" scale="39"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44"/>
  <sheetViews>
    <sheetView showGridLines="0" topLeftCell="C5" zoomScale="67" workbookViewId="0">
      <selection activeCell="E19" sqref="E19"/>
    </sheetView>
  </sheetViews>
  <sheetFormatPr baseColWidth="10" defaultColWidth="8.83203125" defaultRowHeight="15" x14ac:dyDescent="0.2"/>
  <cols>
    <col min="1" max="1" width="8.1640625" customWidth="1"/>
    <col min="2" max="2" width="12.83203125" customWidth="1"/>
    <col min="3" max="3" width="55" customWidth="1"/>
    <col min="4" max="4" width="54" customWidth="1"/>
    <col min="5" max="5" width="56.83203125" customWidth="1"/>
    <col min="6" max="7" width="20" customWidth="1"/>
  </cols>
  <sheetData>
    <row r="1" spans="1:7" ht="30" customHeight="1" x14ac:dyDescent="0.2">
      <c r="A1" s="119" t="s">
        <v>42</v>
      </c>
      <c r="B1" s="99"/>
      <c r="C1" s="99"/>
      <c r="D1" s="99"/>
      <c r="E1" s="99"/>
      <c r="F1" s="99"/>
      <c r="G1" s="99"/>
    </row>
    <row r="2" spans="1:7" ht="36" customHeight="1" x14ac:dyDescent="0.2">
      <c r="A2" s="96" t="s">
        <v>84</v>
      </c>
      <c r="B2" s="97"/>
      <c r="C2" s="106" t="s">
        <v>110</v>
      </c>
      <c r="D2" s="107"/>
      <c r="E2" s="107"/>
      <c r="F2" s="107"/>
      <c r="G2" s="107"/>
    </row>
    <row r="3" spans="1:7" ht="40" customHeight="1" x14ac:dyDescent="0.2">
      <c r="A3" s="104" t="s">
        <v>85</v>
      </c>
      <c r="B3" s="105"/>
      <c r="C3" s="102" t="s">
        <v>111</v>
      </c>
      <c r="D3" s="103"/>
      <c r="E3" s="103"/>
      <c r="F3" s="103"/>
      <c r="G3" s="103"/>
    </row>
    <row r="4" spans="1:7" ht="39.75" customHeight="1" x14ac:dyDescent="0.2">
      <c r="A4" s="101" t="s">
        <v>86</v>
      </c>
      <c r="B4" s="101"/>
      <c r="C4" s="100" t="s">
        <v>112</v>
      </c>
      <c r="D4" s="100"/>
      <c r="E4" s="100"/>
      <c r="F4" s="100"/>
      <c r="G4" s="100"/>
    </row>
    <row r="6" spans="1:7" ht="22" customHeight="1" x14ac:dyDescent="0.2">
      <c r="A6" s="81" t="s">
        <v>239</v>
      </c>
      <c r="B6" s="82"/>
      <c r="C6" s="82"/>
      <c r="D6" s="82"/>
      <c r="E6" s="82"/>
      <c r="F6" s="82"/>
      <c r="G6" s="82"/>
    </row>
    <row r="7" spans="1:7" ht="16" customHeight="1" x14ac:dyDescent="0.2">
      <c r="A7" s="113" t="s">
        <v>22</v>
      </c>
      <c r="B7" s="114"/>
      <c r="C7" s="2" t="s">
        <v>23</v>
      </c>
      <c r="D7" s="30" t="s">
        <v>92</v>
      </c>
      <c r="E7" s="30" t="s">
        <v>24</v>
      </c>
    </row>
    <row r="8" spans="1:7" ht="51.75" customHeight="1" x14ac:dyDescent="0.2">
      <c r="A8" s="115">
        <v>2.1</v>
      </c>
      <c r="B8" s="116"/>
      <c r="C8" s="42" t="s">
        <v>113</v>
      </c>
      <c r="D8" s="4"/>
      <c r="E8" s="5"/>
    </row>
    <row r="9" spans="1:7" ht="57.75" customHeight="1" x14ac:dyDescent="0.2">
      <c r="A9" s="117">
        <v>2.2000000000000002</v>
      </c>
      <c r="B9" s="118"/>
      <c r="C9" s="31" t="s">
        <v>114</v>
      </c>
      <c r="D9" s="4"/>
      <c r="E9" s="5"/>
    </row>
    <row r="10" spans="1:7" ht="48.75" customHeight="1" x14ac:dyDescent="0.2">
      <c r="A10" s="115">
        <v>2.2999999999999998</v>
      </c>
      <c r="B10" s="116"/>
      <c r="C10" s="42" t="s">
        <v>115</v>
      </c>
      <c r="D10" s="4"/>
      <c r="E10" s="5"/>
    </row>
    <row r="11" spans="1:7" ht="53.25" customHeight="1" x14ac:dyDescent="0.2">
      <c r="A11" s="117">
        <v>2.4</v>
      </c>
      <c r="B11" s="118"/>
      <c r="C11" s="31" t="s">
        <v>116</v>
      </c>
      <c r="D11" s="4"/>
      <c r="E11" s="5"/>
    </row>
    <row r="12" spans="1:7" ht="67.5" customHeight="1" x14ac:dyDescent="0.2">
      <c r="A12" s="115">
        <v>2.5</v>
      </c>
      <c r="B12" s="116"/>
      <c r="C12" s="42" t="s">
        <v>117</v>
      </c>
      <c r="D12" s="4"/>
      <c r="E12" s="5"/>
    </row>
    <row r="14" spans="1:7" ht="22" customHeight="1" x14ac:dyDescent="0.2">
      <c r="A14" s="81" t="s">
        <v>322</v>
      </c>
      <c r="B14" s="82"/>
      <c r="C14" s="82"/>
      <c r="D14" s="82"/>
      <c r="E14" s="82"/>
      <c r="F14" s="82"/>
      <c r="G14" s="82"/>
    </row>
    <row r="15" spans="1:7" ht="16" customHeight="1" x14ac:dyDescent="0.2">
      <c r="A15" s="90" t="s">
        <v>30</v>
      </c>
      <c r="B15" s="73"/>
      <c r="C15" s="73"/>
      <c r="D15" s="73"/>
      <c r="E15" s="73"/>
      <c r="F15" s="73"/>
      <c r="G15" s="73"/>
    </row>
    <row r="16" spans="1:7" ht="16" customHeight="1" x14ac:dyDescent="0.2">
      <c r="A16" s="86" t="s">
        <v>0</v>
      </c>
      <c r="B16" s="87"/>
      <c r="C16" s="2" t="s">
        <v>31</v>
      </c>
      <c r="D16" s="2" t="s">
        <v>32</v>
      </c>
      <c r="E16" s="30" t="s">
        <v>89</v>
      </c>
      <c r="F16" s="2" t="s">
        <v>33</v>
      </c>
      <c r="G16" s="30" t="s">
        <v>24</v>
      </c>
    </row>
    <row r="17" spans="1:7" ht="117" customHeight="1" x14ac:dyDescent="0.2">
      <c r="A17" s="33" t="s">
        <v>2</v>
      </c>
      <c r="B17" s="32" t="s">
        <v>43</v>
      </c>
      <c r="C17" s="42" t="s">
        <v>120</v>
      </c>
      <c r="D17" s="31" t="s">
        <v>121</v>
      </c>
      <c r="E17" s="43" t="s">
        <v>122</v>
      </c>
      <c r="F17" s="6"/>
      <c r="G17" s="5"/>
    </row>
    <row r="18" spans="1:7" ht="88.5" customHeight="1" x14ac:dyDescent="0.2">
      <c r="A18" s="35" t="s">
        <v>5</v>
      </c>
      <c r="B18" s="34" t="s">
        <v>118</v>
      </c>
      <c r="C18" s="42" t="s">
        <v>123</v>
      </c>
      <c r="D18" s="31" t="s">
        <v>441</v>
      </c>
      <c r="E18" s="43" t="s">
        <v>124</v>
      </c>
      <c r="F18" s="6"/>
      <c r="G18" s="5"/>
    </row>
    <row r="19" spans="1:7" ht="120.75" customHeight="1" x14ac:dyDescent="0.2">
      <c r="A19" s="36" t="s">
        <v>7</v>
      </c>
      <c r="B19" s="39" t="s">
        <v>8</v>
      </c>
      <c r="C19" s="42" t="s">
        <v>125</v>
      </c>
      <c r="D19" s="31" t="s">
        <v>126</v>
      </c>
      <c r="E19" s="43" t="s">
        <v>127</v>
      </c>
      <c r="F19" s="6"/>
      <c r="G19" s="5"/>
    </row>
    <row r="20" spans="1:7" ht="159.75" customHeight="1" x14ac:dyDescent="0.2">
      <c r="A20" s="37" t="s">
        <v>9</v>
      </c>
      <c r="B20" s="40" t="s">
        <v>44</v>
      </c>
      <c r="C20" s="42" t="s">
        <v>128</v>
      </c>
      <c r="D20" s="31" t="s">
        <v>129</v>
      </c>
      <c r="E20" s="43" t="s">
        <v>130</v>
      </c>
      <c r="F20" s="6"/>
      <c r="G20" s="5"/>
    </row>
    <row r="21" spans="1:7" ht="113.25" customHeight="1" x14ac:dyDescent="0.2">
      <c r="A21" s="38" t="s">
        <v>10</v>
      </c>
      <c r="B21" s="41" t="s">
        <v>45</v>
      </c>
      <c r="C21" s="42" t="s">
        <v>131</v>
      </c>
      <c r="D21" s="31" t="s">
        <v>132</v>
      </c>
      <c r="E21" s="43" t="s">
        <v>133</v>
      </c>
      <c r="F21" s="6"/>
      <c r="G21" s="5"/>
    </row>
    <row r="22" spans="1:7" ht="39.75" customHeight="1" x14ac:dyDescent="0.2">
      <c r="A22" s="79" t="s">
        <v>35</v>
      </c>
      <c r="B22" s="73"/>
      <c r="C22" s="7" t="s">
        <v>36</v>
      </c>
      <c r="D22" s="8" t="str" cm="1">
        <f t="array" ref="D22">IFERROR(LOOKUP(2,1/(F17:F21&lt;&gt;""),{1;2;3;4;5}),"")</f>
        <v/>
      </c>
      <c r="E22" s="112" t="s">
        <v>37</v>
      </c>
      <c r="F22" s="73"/>
      <c r="G22" s="73"/>
    </row>
    <row r="24" spans="1:7" ht="22" customHeight="1" x14ac:dyDescent="0.2">
      <c r="A24" s="81" t="s">
        <v>238</v>
      </c>
      <c r="B24" s="82"/>
      <c r="C24" s="82"/>
      <c r="D24" s="82"/>
      <c r="E24" s="82"/>
      <c r="F24" s="82"/>
      <c r="G24" s="82"/>
    </row>
    <row r="25" spans="1:7" ht="16" customHeight="1" x14ac:dyDescent="0.2">
      <c r="A25" s="90" t="s">
        <v>38</v>
      </c>
      <c r="B25" s="73"/>
      <c r="C25" s="73"/>
      <c r="D25" s="73"/>
      <c r="E25" s="73"/>
      <c r="F25" s="73"/>
      <c r="G25" s="73"/>
    </row>
    <row r="26" spans="1:7" ht="16" customHeight="1" x14ac:dyDescent="0.2">
      <c r="A26" s="86" t="s">
        <v>0</v>
      </c>
      <c r="B26" s="87"/>
      <c r="C26" s="30" t="s">
        <v>143</v>
      </c>
      <c r="D26" s="30" t="s">
        <v>39</v>
      </c>
      <c r="E26" s="30" t="s">
        <v>93</v>
      </c>
      <c r="F26" s="2" t="s">
        <v>33</v>
      </c>
      <c r="G26" s="30" t="s">
        <v>24</v>
      </c>
    </row>
    <row r="27" spans="1:7" ht="65.25" customHeight="1" x14ac:dyDescent="0.2">
      <c r="A27" s="33" t="s">
        <v>13</v>
      </c>
      <c r="B27" s="32" t="s">
        <v>119</v>
      </c>
      <c r="C27" s="42" t="s">
        <v>134</v>
      </c>
      <c r="D27" s="31" t="s">
        <v>135</v>
      </c>
      <c r="E27" s="43" t="s">
        <v>436</v>
      </c>
      <c r="F27" s="6"/>
      <c r="G27" s="5"/>
    </row>
    <row r="28" spans="1:7" ht="61.5" customHeight="1" x14ac:dyDescent="0.2">
      <c r="A28" s="35" t="s">
        <v>16</v>
      </c>
      <c r="B28" s="34" t="s">
        <v>14</v>
      </c>
      <c r="C28" s="42" t="s">
        <v>136</v>
      </c>
      <c r="D28" s="31" t="s">
        <v>137</v>
      </c>
      <c r="E28" s="43" t="s">
        <v>138</v>
      </c>
      <c r="F28" s="6"/>
      <c r="G28" s="5"/>
    </row>
    <row r="29" spans="1:7" ht="60" customHeight="1" x14ac:dyDescent="0.2">
      <c r="A29" s="37" t="s">
        <v>19</v>
      </c>
      <c r="B29" s="40" t="s">
        <v>17</v>
      </c>
      <c r="C29" s="42" t="s">
        <v>139</v>
      </c>
      <c r="D29" s="31" t="s">
        <v>140</v>
      </c>
      <c r="E29" s="43" t="s">
        <v>250</v>
      </c>
      <c r="F29" s="6"/>
      <c r="G29" s="5"/>
    </row>
    <row r="30" spans="1:7" ht="59.25" customHeight="1" x14ac:dyDescent="0.2">
      <c r="A30" s="38" t="s">
        <v>72</v>
      </c>
      <c r="B30" s="41" t="s">
        <v>20</v>
      </c>
      <c r="C30" s="42" t="s">
        <v>141</v>
      </c>
      <c r="D30" s="31" t="s">
        <v>142</v>
      </c>
      <c r="E30" s="43" t="s">
        <v>435</v>
      </c>
      <c r="F30" s="6"/>
      <c r="G30" s="5"/>
    </row>
    <row r="31" spans="1:7" ht="42" customHeight="1" x14ac:dyDescent="0.2">
      <c r="A31" s="91" t="s">
        <v>40</v>
      </c>
      <c r="B31" s="73"/>
      <c r="C31" s="44" t="s">
        <v>41</v>
      </c>
      <c r="D31" s="8" t="str" cm="1">
        <f t="array" ref="D31">IFERROR(LOOKUP(2,1/(F27:F30&lt;&gt;""),{1;2;3;4}),"")</f>
        <v/>
      </c>
      <c r="E31" s="112" t="s">
        <v>37</v>
      </c>
      <c r="F31" s="73"/>
      <c r="G31" s="73"/>
    </row>
    <row r="33" spans="1:7" ht="16" x14ac:dyDescent="0.2">
      <c r="A33" s="108" t="s">
        <v>266</v>
      </c>
      <c r="B33" s="108"/>
      <c r="C33" s="108"/>
      <c r="D33" s="108"/>
      <c r="E33" s="108"/>
      <c r="F33" s="108"/>
      <c r="G33" s="108"/>
    </row>
    <row r="34" spans="1:7" x14ac:dyDescent="0.2">
      <c r="A34" s="109" t="s">
        <v>261</v>
      </c>
      <c r="B34" s="109"/>
      <c r="C34" s="109" t="s">
        <v>262</v>
      </c>
      <c r="D34" s="109"/>
      <c r="E34" s="109"/>
      <c r="F34" s="109"/>
      <c r="G34" s="109"/>
    </row>
    <row r="35" spans="1:7" x14ac:dyDescent="0.2">
      <c r="A35" s="110" t="s">
        <v>263</v>
      </c>
      <c r="B35" s="110"/>
      <c r="C35" s="111" t="s">
        <v>268</v>
      </c>
      <c r="D35" s="111"/>
      <c r="E35" s="111"/>
      <c r="F35" s="111"/>
      <c r="G35" s="111"/>
    </row>
    <row r="36" spans="1:7" x14ac:dyDescent="0.2">
      <c r="A36" s="110" t="s">
        <v>7</v>
      </c>
      <c r="B36" s="110"/>
      <c r="C36" s="111" t="s">
        <v>293</v>
      </c>
      <c r="D36" s="111"/>
      <c r="E36" s="111"/>
      <c r="F36" s="111"/>
      <c r="G36" s="111"/>
    </row>
    <row r="37" spans="1:7" x14ac:dyDescent="0.2">
      <c r="A37" s="110" t="s">
        <v>9</v>
      </c>
      <c r="B37" s="110"/>
      <c r="C37" s="111" t="s">
        <v>294</v>
      </c>
      <c r="D37" s="111"/>
      <c r="E37" s="111"/>
      <c r="F37" s="111"/>
      <c r="G37" s="111"/>
    </row>
    <row r="38" spans="1:7" x14ac:dyDescent="0.2">
      <c r="A38" s="110" t="s">
        <v>10</v>
      </c>
      <c r="B38" s="110"/>
      <c r="C38" s="111" t="s">
        <v>295</v>
      </c>
      <c r="D38" s="111"/>
      <c r="E38" s="111"/>
      <c r="F38" s="111"/>
      <c r="G38" s="111"/>
    </row>
    <row r="40" spans="1:7" ht="30" customHeight="1" x14ac:dyDescent="0.2">
      <c r="A40" s="109" t="s">
        <v>265</v>
      </c>
      <c r="B40" s="109"/>
      <c r="C40" s="109" t="s">
        <v>262</v>
      </c>
      <c r="D40" s="109"/>
      <c r="E40" s="109"/>
      <c r="F40" s="109"/>
      <c r="G40" s="109"/>
    </row>
    <row r="41" spans="1:7" x14ac:dyDescent="0.2">
      <c r="A41" s="110" t="s">
        <v>13</v>
      </c>
      <c r="B41" s="110"/>
      <c r="C41" s="111" t="s">
        <v>296</v>
      </c>
      <c r="D41" s="111"/>
      <c r="E41" s="111"/>
      <c r="F41" s="111"/>
      <c r="G41" s="111"/>
    </row>
    <row r="42" spans="1:7" x14ac:dyDescent="0.2">
      <c r="A42" s="110" t="s">
        <v>16</v>
      </c>
      <c r="B42" s="110"/>
      <c r="C42" s="111" t="s">
        <v>297</v>
      </c>
      <c r="D42" s="111"/>
      <c r="E42" s="111"/>
      <c r="F42" s="111"/>
      <c r="G42" s="111"/>
    </row>
    <row r="43" spans="1:7" x14ac:dyDescent="0.2">
      <c r="A43" s="110" t="s">
        <v>19</v>
      </c>
      <c r="B43" s="110"/>
      <c r="C43" s="111" t="s">
        <v>298</v>
      </c>
      <c r="D43" s="111"/>
      <c r="E43" s="111"/>
      <c r="F43" s="111"/>
      <c r="G43" s="111"/>
    </row>
    <row r="44" spans="1:7" x14ac:dyDescent="0.2">
      <c r="A44" s="110" t="s">
        <v>72</v>
      </c>
      <c r="B44" s="110"/>
      <c r="C44" s="111" t="s">
        <v>299</v>
      </c>
      <c r="D44" s="111"/>
      <c r="E44" s="111"/>
      <c r="F44" s="111"/>
      <c r="G44" s="111"/>
    </row>
  </sheetData>
  <mergeCells count="45">
    <mergeCell ref="A42:B42"/>
    <mergeCell ref="C42:G42"/>
    <mergeCell ref="A43:B43"/>
    <mergeCell ref="C43:G43"/>
    <mergeCell ref="A44:B44"/>
    <mergeCell ref="C44:G44"/>
    <mergeCell ref="A38:B38"/>
    <mergeCell ref="C38:G38"/>
    <mergeCell ref="A40:B40"/>
    <mergeCell ref="C40:G40"/>
    <mergeCell ref="A41:B41"/>
    <mergeCell ref="C41:G41"/>
    <mergeCell ref="A35:B35"/>
    <mergeCell ref="C35:G35"/>
    <mergeCell ref="A36:B36"/>
    <mergeCell ref="C36:G36"/>
    <mergeCell ref="A37:B37"/>
    <mergeCell ref="C37:G37"/>
    <mergeCell ref="A1:G1"/>
    <mergeCell ref="A12:B12"/>
    <mergeCell ref="A16:B16"/>
    <mergeCell ref="A33:G33"/>
    <mergeCell ref="A34:B34"/>
    <mergeCell ref="C34:G34"/>
    <mergeCell ref="A11:B11"/>
    <mergeCell ref="A14:G14"/>
    <mergeCell ref="A15:G15"/>
    <mergeCell ref="A22:B22"/>
    <mergeCell ref="A2:B2"/>
    <mergeCell ref="A26:B26"/>
    <mergeCell ref="A31:B31"/>
    <mergeCell ref="E31:G31"/>
    <mergeCell ref="C2:G2"/>
    <mergeCell ref="A6:G6"/>
    <mergeCell ref="A25:G25"/>
    <mergeCell ref="E22:G22"/>
    <mergeCell ref="A3:B3"/>
    <mergeCell ref="C3:G3"/>
    <mergeCell ref="A24:G24"/>
    <mergeCell ref="A4:B4"/>
    <mergeCell ref="C4:G4"/>
    <mergeCell ref="A7:B7"/>
    <mergeCell ref="A8:B8"/>
    <mergeCell ref="A9:B9"/>
    <mergeCell ref="A10:B10"/>
  </mergeCells>
  <dataValidations count="2">
    <dataValidation type="list" allowBlank="1" sqref="D8:D12" xr:uid="{00000000-0002-0000-0200-000000000000}">
      <formula1>"Yes,No,Partial,N/A"</formula1>
    </dataValidation>
    <dataValidation type="list" allowBlank="1" showInputMessage="1" showErrorMessage="1" sqref="F17:F21 F27:F30" xr:uid="{0633309B-814C-9148-B1CA-64B7F4FD946A}">
      <formula1>"✓,"</formula1>
    </dataValidation>
  </dataValidations>
  <pageMargins left="0.75" right="0.75" top="1" bottom="1" header="0.5" footer="0.5"/>
  <pageSetup paperSize="9" scale="38"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44"/>
  <sheetViews>
    <sheetView showGridLines="0" workbookViewId="0">
      <selection activeCell="C7" sqref="C7"/>
    </sheetView>
  </sheetViews>
  <sheetFormatPr baseColWidth="10" defaultColWidth="8.83203125" defaultRowHeight="15" x14ac:dyDescent="0.2"/>
  <cols>
    <col min="1" max="1" width="5" customWidth="1"/>
    <col min="2" max="2" width="12.83203125" customWidth="1"/>
    <col min="3" max="3" width="55" customWidth="1"/>
    <col min="4" max="4" width="48" customWidth="1"/>
    <col min="5" max="5" width="40" customWidth="1"/>
    <col min="6" max="7" width="20" customWidth="1"/>
  </cols>
  <sheetData>
    <row r="1" spans="1:7" ht="30" customHeight="1" x14ac:dyDescent="0.2">
      <c r="A1" s="119" t="s">
        <v>46</v>
      </c>
      <c r="B1" s="99"/>
      <c r="C1" s="99"/>
      <c r="D1" s="99"/>
      <c r="E1" s="99"/>
      <c r="F1" s="99"/>
      <c r="G1" s="99"/>
    </row>
    <row r="2" spans="1:7" ht="36" customHeight="1" x14ac:dyDescent="0.2">
      <c r="A2" s="96" t="s">
        <v>84</v>
      </c>
      <c r="B2" s="97"/>
      <c r="C2" s="106" t="s">
        <v>144</v>
      </c>
      <c r="D2" s="107"/>
      <c r="E2" s="107"/>
      <c r="F2" s="107"/>
      <c r="G2" s="107"/>
    </row>
    <row r="3" spans="1:7" ht="40" customHeight="1" x14ac:dyDescent="0.2">
      <c r="A3" s="104" t="s">
        <v>85</v>
      </c>
      <c r="B3" s="105"/>
      <c r="C3" s="102" t="s">
        <v>145</v>
      </c>
      <c r="D3" s="103"/>
      <c r="E3" s="103"/>
      <c r="F3" s="103"/>
      <c r="G3" s="103"/>
    </row>
    <row r="4" spans="1:7" ht="43.5" customHeight="1" x14ac:dyDescent="0.2">
      <c r="A4" s="101" t="s">
        <v>86</v>
      </c>
      <c r="B4" s="101"/>
      <c r="C4" s="100" t="s">
        <v>146</v>
      </c>
      <c r="D4" s="100"/>
      <c r="E4" s="100"/>
      <c r="F4" s="100"/>
      <c r="G4" s="100"/>
    </row>
    <row r="6" spans="1:7" ht="22" customHeight="1" x14ac:dyDescent="0.2">
      <c r="A6" s="120" t="s">
        <v>239</v>
      </c>
      <c r="B6" s="120"/>
      <c r="C6" s="120"/>
      <c r="D6" s="120"/>
      <c r="E6" s="120"/>
    </row>
    <row r="7" spans="1:7" ht="16" customHeight="1" x14ac:dyDescent="0.2">
      <c r="A7" s="113" t="s">
        <v>22</v>
      </c>
      <c r="B7" s="114"/>
      <c r="C7" s="2" t="s">
        <v>23</v>
      </c>
      <c r="D7" s="30" t="s">
        <v>92</v>
      </c>
      <c r="E7" s="30" t="s">
        <v>24</v>
      </c>
    </row>
    <row r="8" spans="1:7" ht="52" x14ac:dyDescent="0.2">
      <c r="A8" s="115">
        <v>3.1</v>
      </c>
      <c r="B8" s="116"/>
      <c r="C8" s="42" t="s">
        <v>147</v>
      </c>
      <c r="D8" s="4"/>
      <c r="E8" s="5"/>
    </row>
    <row r="9" spans="1:7" ht="39" x14ac:dyDescent="0.2">
      <c r="A9" s="117">
        <v>3.2</v>
      </c>
      <c r="B9" s="118"/>
      <c r="C9" s="5" t="s">
        <v>148</v>
      </c>
      <c r="D9" s="4"/>
      <c r="E9" s="5"/>
    </row>
    <row r="10" spans="1:7" ht="39" x14ac:dyDescent="0.2">
      <c r="A10" s="115">
        <v>3.3</v>
      </c>
      <c r="B10" s="116"/>
      <c r="C10" s="42" t="s">
        <v>149</v>
      </c>
      <c r="D10" s="4"/>
      <c r="E10" s="5"/>
    </row>
    <row r="11" spans="1:7" ht="39" x14ac:dyDescent="0.2">
      <c r="A11" s="117">
        <v>3.4</v>
      </c>
      <c r="B11" s="118"/>
      <c r="C11" s="31" t="s">
        <v>47</v>
      </c>
      <c r="D11" s="4"/>
      <c r="E11" s="5"/>
    </row>
    <row r="12" spans="1:7" ht="52" x14ac:dyDescent="0.2">
      <c r="A12" s="115">
        <v>3.5</v>
      </c>
      <c r="B12" s="116"/>
      <c r="C12" s="42" t="s">
        <v>150</v>
      </c>
      <c r="D12" s="4"/>
      <c r="E12" s="5"/>
    </row>
    <row r="14" spans="1:7" ht="22" customHeight="1" x14ac:dyDescent="0.2">
      <c r="A14" s="81" t="s">
        <v>322</v>
      </c>
      <c r="B14" s="82"/>
      <c r="C14" s="82"/>
      <c r="D14" s="82"/>
      <c r="E14" s="82"/>
      <c r="F14" s="82"/>
      <c r="G14" s="82"/>
    </row>
    <row r="15" spans="1:7" ht="16" customHeight="1" x14ac:dyDescent="0.2">
      <c r="A15" s="90" t="s">
        <v>30</v>
      </c>
      <c r="B15" s="73"/>
      <c r="C15" s="73"/>
      <c r="D15" s="73"/>
      <c r="E15" s="73"/>
      <c r="F15" s="73"/>
      <c r="G15" s="73"/>
    </row>
    <row r="16" spans="1:7" ht="16" customHeight="1" x14ac:dyDescent="0.2">
      <c r="A16" s="86" t="s">
        <v>0</v>
      </c>
      <c r="B16" s="87"/>
      <c r="C16" s="2" t="s">
        <v>31</v>
      </c>
      <c r="D16" s="2" t="s">
        <v>32</v>
      </c>
      <c r="E16" s="30" t="s">
        <v>89</v>
      </c>
      <c r="F16" s="2" t="s">
        <v>33</v>
      </c>
      <c r="G16" s="30" t="s">
        <v>24</v>
      </c>
    </row>
    <row r="17" spans="1:7" ht="75" customHeight="1" x14ac:dyDescent="0.2">
      <c r="A17" s="33" t="s">
        <v>2</v>
      </c>
      <c r="B17" s="32" t="s">
        <v>48</v>
      </c>
      <c r="C17" s="42" t="s">
        <v>4</v>
      </c>
      <c r="D17" s="31" t="s">
        <v>151</v>
      </c>
      <c r="E17" s="43" t="s">
        <v>152</v>
      </c>
      <c r="F17" s="6"/>
      <c r="G17" s="5"/>
    </row>
    <row r="18" spans="1:7" ht="104.25" customHeight="1" x14ac:dyDescent="0.2">
      <c r="A18" s="35" t="s">
        <v>5</v>
      </c>
      <c r="B18" s="34" t="s">
        <v>49</v>
      </c>
      <c r="C18" s="42" t="s">
        <v>153</v>
      </c>
      <c r="D18" s="31" t="s">
        <v>442</v>
      </c>
      <c r="E18" s="43" t="s">
        <v>154</v>
      </c>
      <c r="F18" s="6"/>
      <c r="G18" s="5"/>
    </row>
    <row r="19" spans="1:7" ht="91" x14ac:dyDescent="0.2">
      <c r="A19" s="36" t="s">
        <v>7</v>
      </c>
      <c r="B19" s="39" t="s">
        <v>50</v>
      </c>
      <c r="C19" s="42" t="s">
        <v>155</v>
      </c>
      <c r="D19" s="31" t="s">
        <v>156</v>
      </c>
      <c r="E19" s="43" t="s">
        <v>157</v>
      </c>
      <c r="F19" s="6"/>
      <c r="G19" s="5"/>
    </row>
    <row r="20" spans="1:7" ht="104" x14ac:dyDescent="0.2">
      <c r="A20" s="37" t="s">
        <v>9</v>
      </c>
      <c r="B20" s="40" t="s">
        <v>51</v>
      </c>
      <c r="C20" s="42" t="s">
        <v>158</v>
      </c>
      <c r="D20" s="31" t="s">
        <v>159</v>
      </c>
      <c r="E20" s="43" t="s">
        <v>160</v>
      </c>
      <c r="F20" s="6"/>
      <c r="G20" s="5"/>
    </row>
    <row r="21" spans="1:7" ht="91" x14ac:dyDescent="0.2">
      <c r="A21" s="38" t="s">
        <v>10</v>
      </c>
      <c r="B21" s="41" t="s">
        <v>52</v>
      </c>
      <c r="C21" s="42" t="s">
        <v>193</v>
      </c>
      <c r="D21" s="31" t="s">
        <v>161</v>
      </c>
      <c r="E21" s="43" t="s">
        <v>162</v>
      </c>
      <c r="F21" s="6"/>
      <c r="G21" s="5"/>
    </row>
    <row r="22" spans="1:7" ht="39" customHeight="1" x14ac:dyDescent="0.2">
      <c r="A22" s="91" t="s">
        <v>35</v>
      </c>
      <c r="B22" s="73"/>
      <c r="C22" s="7" t="s">
        <v>36</v>
      </c>
      <c r="D22" s="8" t="str" cm="1">
        <f t="array" ref="D22">IFERROR(LOOKUP(2,1/(F17:F21&lt;&gt;""),{1;2;3;4;5}),"")</f>
        <v/>
      </c>
      <c r="E22" s="80" t="s">
        <v>37</v>
      </c>
      <c r="F22" s="73"/>
      <c r="G22" s="73"/>
    </row>
    <row r="24" spans="1:7" ht="22" customHeight="1" x14ac:dyDescent="0.2">
      <c r="A24" s="81" t="s">
        <v>238</v>
      </c>
      <c r="B24" s="82"/>
      <c r="C24" s="82"/>
      <c r="D24" s="82"/>
      <c r="E24" s="82"/>
      <c r="F24" s="82"/>
      <c r="G24" s="82"/>
    </row>
    <row r="25" spans="1:7" ht="16" customHeight="1" x14ac:dyDescent="0.2">
      <c r="A25" s="83" t="s">
        <v>38</v>
      </c>
      <c r="B25" s="73"/>
      <c r="C25" s="73"/>
      <c r="D25" s="73"/>
      <c r="E25" s="73"/>
      <c r="F25" s="73"/>
      <c r="G25" s="73"/>
    </row>
    <row r="26" spans="1:7" ht="16" customHeight="1" x14ac:dyDescent="0.2">
      <c r="A26" s="86" t="s">
        <v>0</v>
      </c>
      <c r="B26" s="87"/>
      <c r="C26" s="30" t="s">
        <v>143</v>
      </c>
      <c r="D26" s="30" t="s">
        <v>39</v>
      </c>
      <c r="E26" s="30" t="s">
        <v>93</v>
      </c>
      <c r="F26" s="2" t="s">
        <v>33</v>
      </c>
      <c r="G26" s="30" t="s">
        <v>24</v>
      </c>
    </row>
    <row r="27" spans="1:7" ht="52" x14ac:dyDescent="0.2">
      <c r="A27" s="33" t="s">
        <v>13</v>
      </c>
      <c r="B27" s="32" t="s">
        <v>11</v>
      </c>
      <c r="C27" s="42" t="s">
        <v>163</v>
      </c>
      <c r="D27" s="31" t="s">
        <v>437</v>
      </c>
      <c r="E27" s="43" t="s">
        <v>253</v>
      </c>
      <c r="F27" s="6"/>
      <c r="G27" s="5"/>
    </row>
    <row r="28" spans="1:7" ht="52" x14ac:dyDescent="0.2">
      <c r="A28" s="35" t="s">
        <v>16</v>
      </c>
      <c r="B28" s="34" t="s">
        <v>14</v>
      </c>
      <c r="C28" s="42" t="s">
        <v>164</v>
      </c>
      <c r="D28" s="31" t="s">
        <v>168</v>
      </c>
      <c r="E28" s="43" t="s">
        <v>167</v>
      </c>
      <c r="F28" s="6"/>
      <c r="G28" s="5"/>
    </row>
    <row r="29" spans="1:7" ht="65" x14ac:dyDescent="0.2">
      <c r="A29" s="37" t="s">
        <v>19</v>
      </c>
      <c r="B29" s="40" t="s">
        <v>17</v>
      </c>
      <c r="C29" s="42" t="s">
        <v>165</v>
      </c>
      <c r="D29" s="5" t="s">
        <v>169</v>
      </c>
      <c r="E29" s="43" t="s">
        <v>251</v>
      </c>
      <c r="F29" s="6"/>
      <c r="G29" s="5"/>
    </row>
    <row r="30" spans="1:7" ht="39" x14ac:dyDescent="0.2">
      <c r="A30" s="38" t="s">
        <v>72</v>
      </c>
      <c r="B30" s="41" t="s">
        <v>20</v>
      </c>
      <c r="C30" s="42" t="s">
        <v>166</v>
      </c>
      <c r="D30" s="31" t="s">
        <v>170</v>
      </c>
      <c r="E30" s="43" t="s">
        <v>252</v>
      </c>
      <c r="F30" s="6"/>
      <c r="G30" s="5"/>
    </row>
    <row r="31" spans="1:7" ht="42.75" customHeight="1" x14ac:dyDescent="0.2">
      <c r="A31" s="91" t="s">
        <v>40</v>
      </c>
      <c r="B31" s="73"/>
      <c r="C31" s="7" t="s">
        <v>41</v>
      </c>
      <c r="D31" s="8" t="str" cm="1">
        <f t="array" ref="D31">IFERROR(LOOKUP(2,1/(F27:F30&lt;&gt;""),{1;2;3;4}),"")</f>
        <v/>
      </c>
      <c r="E31" s="80" t="s">
        <v>37</v>
      </c>
      <c r="F31" s="73"/>
      <c r="G31" s="73"/>
    </row>
    <row r="33" spans="1:7" ht="16" x14ac:dyDescent="0.2">
      <c r="A33" s="108" t="s">
        <v>266</v>
      </c>
      <c r="B33" s="108"/>
      <c r="C33" s="108"/>
      <c r="D33" s="108"/>
      <c r="E33" s="108"/>
      <c r="F33" s="108"/>
      <c r="G33" s="108"/>
    </row>
    <row r="34" spans="1:7" x14ac:dyDescent="0.2">
      <c r="A34" s="109" t="s">
        <v>261</v>
      </c>
      <c r="B34" s="109"/>
      <c r="C34" s="109" t="s">
        <v>262</v>
      </c>
      <c r="D34" s="109"/>
      <c r="E34" s="109"/>
      <c r="F34" s="109"/>
      <c r="G34" s="109"/>
    </row>
    <row r="35" spans="1:7" x14ac:dyDescent="0.2">
      <c r="A35" s="110" t="s">
        <v>263</v>
      </c>
      <c r="B35" s="110"/>
      <c r="C35" s="111" t="s">
        <v>267</v>
      </c>
      <c r="D35" s="111"/>
      <c r="E35" s="111"/>
      <c r="F35" s="111"/>
      <c r="G35" s="111"/>
    </row>
    <row r="36" spans="1:7" x14ac:dyDescent="0.2">
      <c r="A36" s="110" t="s">
        <v>7</v>
      </c>
      <c r="B36" s="110"/>
      <c r="C36" s="111" t="s">
        <v>286</v>
      </c>
      <c r="D36" s="111"/>
      <c r="E36" s="111"/>
      <c r="F36" s="111"/>
      <c r="G36" s="111"/>
    </row>
    <row r="37" spans="1:7" x14ac:dyDescent="0.2">
      <c r="A37" s="110" t="s">
        <v>9</v>
      </c>
      <c r="B37" s="110"/>
      <c r="C37" s="111" t="s">
        <v>287</v>
      </c>
      <c r="D37" s="111"/>
      <c r="E37" s="111"/>
      <c r="F37" s="111"/>
      <c r="G37" s="111"/>
    </row>
    <row r="38" spans="1:7" x14ac:dyDescent="0.2">
      <c r="A38" s="110" t="s">
        <v>10</v>
      </c>
      <c r="B38" s="110"/>
      <c r="C38" s="111" t="s">
        <v>288</v>
      </c>
      <c r="D38" s="111"/>
      <c r="E38" s="111"/>
      <c r="F38" s="111"/>
      <c r="G38" s="111"/>
    </row>
    <row r="40" spans="1:7" ht="27.75" customHeight="1" x14ac:dyDescent="0.2">
      <c r="A40" s="109" t="s">
        <v>265</v>
      </c>
      <c r="B40" s="109"/>
      <c r="C40" s="109" t="s">
        <v>262</v>
      </c>
      <c r="D40" s="109"/>
      <c r="E40" s="109"/>
      <c r="F40" s="109"/>
      <c r="G40" s="109"/>
    </row>
    <row r="41" spans="1:7" x14ac:dyDescent="0.2">
      <c r="A41" s="110" t="s">
        <v>13</v>
      </c>
      <c r="B41" s="110"/>
      <c r="C41" s="111" t="s">
        <v>289</v>
      </c>
      <c r="D41" s="111"/>
      <c r="E41" s="111"/>
      <c r="F41" s="111"/>
      <c r="G41" s="111"/>
    </row>
    <row r="42" spans="1:7" x14ac:dyDescent="0.2">
      <c r="A42" s="110" t="s">
        <v>16</v>
      </c>
      <c r="B42" s="110"/>
      <c r="C42" s="111" t="s">
        <v>290</v>
      </c>
      <c r="D42" s="111"/>
      <c r="E42" s="111"/>
      <c r="F42" s="111"/>
      <c r="G42" s="111"/>
    </row>
    <row r="43" spans="1:7" x14ac:dyDescent="0.2">
      <c r="A43" s="110" t="s">
        <v>19</v>
      </c>
      <c r="B43" s="110"/>
      <c r="C43" s="111" t="s">
        <v>291</v>
      </c>
      <c r="D43" s="111"/>
      <c r="E43" s="111"/>
      <c r="F43" s="111"/>
      <c r="G43" s="111"/>
    </row>
    <row r="44" spans="1:7" x14ac:dyDescent="0.2">
      <c r="A44" s="110" t="s">
        <v>72</v>
      </c>
      <c r="B44" s="110"/>
      <c r="C44" s="111" t="s">
        <v>292</v>
      </c>
      <c r="D44" s="111"/>
      <c r="E44" s="111"/>
      <c r="F44" s="111"/>
      <c r="G44" s="111"/>
    </row>
  </sheetData>
  <mergeCells count="45">
    <mergeCell ref="A42:B42"/>
    <mergeCell ref="C42:G42"/>
    <mergeCell ref="A43:B43"/>
    <mergeCell ref="C43:G43"/>
    <mergeCell ref="A44:B44"/>
    <mergeCell ref="C44:G44"/>
    <mergeCell ref="A38:B38"/>
    <mergeCell ref="C38:G38"/>
    <mergeCell ref="A40:B40"/>
    <mergeCell ref="C40:G40"/>
    <mergeCell ref="A41:B41"/>
    <mergeCell ref="C41:G41"/>
    <mergeCell ref="A35:B35"/>
    <mergeCell ref="C35:G35"/>
    <mergeCell ref="A36:B36"/>
    <mergeCell ref="C36:G36"/>
    <mergeCell ref="A37:B37"/>
    <mergeCell ref="C37:G37"/>
    <mergeCell ref="A1:G1"/>
    <mergeCell ref="A12:B12"/>
    <mergeCell ref="A16:B16"/>
    <mergeCell ref="A33:G33"/>
    <mergeCell ref="A34:B34"/>
    <mergeCell ref="C34:G34"/>
    <mergeCell ref="A11:B11"/>
    <mergeCell ref="A14:G14"/>
    <mergeCell ref="A15:G15"/>
    <mergeCell ref="A22:B22"/>
    <mergeCell ref="A2:B2"/>
    <mergeCell ref="A26:B26"/>
    <mergeCell ref="A6:E6"/>
    <mergeCell ref="A31:B31"/>
    <mergeCell ref="E31:G31"/>
    <mergeCell ref="C2:G2"/>
    <mergeCell ref="A25:G25"/>
    <mergeCell ref="E22:G22"/>
    <mergeCell ref="A3:B3"/>
    <mergeCell ref="C3:G3"/>
    <mergeCell ref="A24:G24"/>
    <mergeCell ref="A4:B4"/>
    <mergeCell ref="C4:G4"/>
    <mergeCell ref="A7:B7"/>
    <mergeCell ref="A8:B8"/>
    <mergeCell ref="A9:B9"/>
    <mergeCell ref="A10:B10"/>
  </mergeCells>
  <dataValidations count="2">
    <dataValidation type="list" allowBlank="1" sqref="D8:D12" xr:uid="{00000000-0002-0000-0300-000000000000}">
      <formula1>"Yes,No"</formula1>
    </dataValidation>
    <dataValidation type="list" allowBlank="1" showInputMessage="1" showErrorMessage="1" sqref="F17:F21 F27:F30" xr:uid="{5EEEEC57-C566-B442-A591-608EEADF2ACD}">
      <formula1>"✓,"</formula1>
    </dataValidation>
  </dataValidations>
  <pageMargins left="0.75" right="0.75" top="1" bottom="1" header="0.5" footer="0.5"/>
  <pageSetup paperSize="9" scale="42"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45"/>
  <sheetViews>
    <sheetView showGridLines="0" zoomScale="103" workbookViewId="0">
      <selection sqref="A1:G45"/>
    </sheetView>
  </sheetViews>
  <sheetFormatPr baseColWidth="10" defaultColWidth="8.83203125" defaultRowHeight="15" x14ac:dyDescent="0.2"/>
  <cols>
    <col min="1" max="1" width="5" customWidth="1"/>
    <col min="2" max="2" width="12.5" customWidth="1"/>
    <col min="3" max="3" width="55" customWidth="1"/>
    <col min="4" max="4" width="37.6640625" customWidth="1"/>
    <col min="5" max="5" width="40" customWidth="1"/>
    <col min="6" max="7" width="20" customWidth="1"/>
  </cols>
  <sheetData>
    <row r="1" spans="1:7" ht="30" customHeight="1" x14ac:dyDescent="0.2">
      <c r="A1" s="98" t="s">
        <v>53</v>
      </c>
      <c r="B1" s="99"/>
      <c r="C1" s="99"/>
      <c r="D1" s="99"/>
      <c r="E1" s="99"/>
      <c r="F1" s="99"/>
      <c r="G1" s="99"/>
    </row>
    <row r="2" spans="1:7" ht="36" customHeight="1" x14ac:dyDescent="0.2">
      <c r="A2" s="96" t="s">
        <v>84</v>
      </c>
      <c r="B2" s="97"/>
      <c r="C2" s="106" t="s">
        <v>171</v>
      </c>
      <c r="D2" s="107"/>
      <c r="E2" s="107"/>
      <c r="F2" s="107"/>
      <c r="G2" s="107"/>
    </row>
    <row r="3" spans="1:7" ht="40" customHeight="1" x14ac:dyDescent="0.2">
      <c r="A3" s="104" t="s">
        <v>85</v>
      </c>
      <c r="B3" s="105"/>
      <c r="C3" s="102" t="s">
        <v>172</v>
      </c>
      <c r="D3" s="103"/>
      <c r="E3" s="103"/>
      <c r="F3" s="103"/>
      <c r="G3" s="103"/>
    </row>
    <row r="4" spans="1:7" x14ac:dyDescent="0.2">
      <c r="A4" s="101" t="s">
        <v>86</v>
      </c>
      <c r="B4" s="101"/>
      <c r="C4" s="100" t="s">
        <v>173</v>
      </c>
      <c r="D4" s="100"/>
      <c r="E4" s="100"/>
      <c r="F4" s="100"/>
      <c r="G4" s="100"/>
    </row>
    <row r="6" spans="1:7" ht="22" customHeight="1" x14ac:dyDescent="0.2">
      <c r="A6" s="120" t="s">
        <v>239</v>
      </c>
      <c r="B6" s="120"/>
      <c r="C6" s="120"/>
      <c r="D6" s="120"/>
      <c r="E6" s="120"/>
    </row>
    <row r="7" spans="1:7" ht="16" customHeight="1" x14ac:dyDescent="0.2">
      <c r="A7" s="113" t="s">
        <v>22</v>
      </c>
      <c r="B7" s="114"/>
      <c r="C7" s="2" t="s">
        <v>23</v>
      </c>
      <c r="D7" s="30" t="s">
        <v>92</v>
      </c>
      <c r="E7" s="30" t="s">
        <v>24</v>
      </c>
    </row>
    <row r="8" spans="1:7" ht="39" x14ac:dyDescent="0.2">
      <c r="A8" s="115">
        <v>4.0999999999999996</v>
      </c>
      <c r="B8" s="116"/>
      <c r="C8" s="42" t="s">
        <v>174</v>
      </c>
      <c r="D8" s="4"/>
      <c r="E8" s="5"/>
    </row>
    <row r="9" spans="1:7" ht="39" x14ac:dyDescent="0.2">
      <c r="A9" s="117">
        <v>4.2</v>
      </c>
      <c r="B9" s="118"/>
      <c r="C9" s="31" t="s">
        <v>175</v>
      </c>
      <c r="D9" s="4"/>
      <c r="E9" s="5"/>
    </row>
    <row r="10" spans="1:7" ht="39" x14ac:dyDescent="0.2">
      <c r="A10" s="115">
        <v>4.3</v>
      </c>
      <c r="B10" s="116"/>
      <c r="C10" s="42" t="s">
        <v>176</v>
      </c>
      <c r="D10" s="4"/>
      <c r="E10" s="5"/>
    </row>
    <row r="11" spans="1:7" ht="39" x14ac:dyDescent="0.2">
      <c r="A11" s="117">
        <v>4.4000000000000004</v>
      </c>
      <c r="B11" s="118"/>
      <c r="C11" s="31" t="s">
        <v>177</v>
      </c>
      <c r="D11" s="4"/>
      <c r="E11" s="5"/>
    </row>
    <row r="12" spans="1:7" ht="52" x14ac:dyDescent="0.2">
      <c r="A12" s="115">
        <v>4.5</v>
      </c>
      <c r="B12" s="116"/>
      <c r="C12" s="42" t="s">
        <v>178</v>
      </c>
      <c r="D12" s="4"/>
      <c r="E12" s="5"/>
    </row>
    <row r="14" spans="1:7" ht="22" customHeight="1" x14ac:dyDescent="0.2">
      <c r="A14" s="81" t="s">
        <v>322</v>
      </c>
      <c r="B14" s="82"/>
      <c r="C14" s="82"/>
      <c r="D14" s="82"/>
      <c r="E14" s="82"/>
      <c r="F14" s="82"/>
      <c r="G14" s="82"/>
    </row>
    <row r="15" spans="1:7" ht="16" customHeight="1" x14ac:dyDescent="0.2">
      <c r="A15" s="90" t="s">
        <v>30</v>
      </c>
      <c r="B15" s="73"/>
      <c r="C15" s="73"/>
      <c r="D15" s="73"/>
      <c r="E15" s="73"/>
      <c r="F15" s="73"/>
      <c r="G15" s="73"/>
    </row>
    <row r="16" spans="1:7" ht="16" customHeight="1" x14ac:dyDescent="0.2">
      <c r="A16" s="86" t="s">
        <v>0</v>
      </c>
      <c r="B16" s="87"/>
      <c r="C16" s="2" t="s">
        <v>31</v>
      </c>
      <c r="D16" s="2" t="s">
        <v>32</v>
      </c>
      <c r="E16" s="30" t="s">
        <v>89</v>
      </c>
      <c r="F16" s="2" t="s">
        <v>33</v>
      </c>
      <c r="G16" s="30" t="s">
        <v>24</v>
      </c>
    </row>
    <row r="17" spans="1:7" ht="52" x14ac:dyDescent="0.2">
      <c r="A17" s="33" t="s">
        <v>2</v>
      </c>
      <c r="B17" s="32" t="s">
        <v>54</v>
      </c>
      <c r="C17" s="42" t="s">
        <v>179</v>
      </c>
      <c r="D17" s="31" t="s">
        <v>180</v>
      </c>
      <c r="E17" s="43" t="s">
        <v>181</v>
      </c>
      <c r="F17" s="6"/>
      <c r="G17" s="5"/>
    </row>
    <row r="18" spans="1:7" ht="91" x14ac:dyDescent="0.2">
      <c r="A18" s="35" t="s">
        <v>5</v>
      </c>
      <c r="B18" s="34" t="s">
        <v>183</v>
      </c>
      <c r="C18" s="42" t="s">
        <v>182</v>
      </c>
      <c r="D18" s="31" t="s">
        <v>443</v>
      </c>
      <c r="E18" s="43" t="s">
        <v>187</v>
      </c>
      <c r="F18" s="6"/>
      <c r="G18" s="5"/>
    </row>
    <row r="19" spans="1:7" ht="78" x14ac:dyDescent="0.2">
      <c r="A19" s="36" t="s">
        <v>7</v>
      </c>
      <c r="B19" s="39" t="s">
        <v>184</v>
      </c>
      <c r="C19" s="42" t="s">
        <v>155</v>
      </c>
      <c r="D19" s="31" t="s">
        <v>188</v>
      </c>
      <c r="E19" s="43" t="s">
        <v>189</v>
      </c>
      <c r="F19" s="6"/>
      <c r="G19" s="5"/>
    </row>
    <row r="20" spans="1:7" ht="117" x14ac:dyDescent="0.2">
      <c r="A20" s="37" t="s">
        <v>9</v>
      </c>
      <c r="B20" s="40" t="s">
        <v>185</v>
      </c>
      <c r="C20" s="42" t="s">
        <v>190</v>
      </c>
      <c r="D20" s="31" t="s">
        <v>191</v>
      </c>
      <c r="E20" s="43" t="s">
        <v>192</v>
      </c>
      <c r="F20" s="6"/>
      <c r="G20" s="5"/>
    </row>
    <row r="21" spans="1:7" ht="91" x14ac:dyDescent="0.2">
      <c r="A21" s="38" t="s">
        <v>10</v>
      </c>
      <c r="B21" s="41" t="s">
        <v>186</v>
      </c>
      <c r="C21" s="42" t="s">
        <v>193</v>
      </c>
      <c r="D21" s="31" t="s">
        <v>194</v>
      </c>
      <c r="E21" s="43" t="s">
        <v>195</v>
      </c>
      <c r="F21" s="6"/>
      <c r="G21" s="5"/>
    </row>
    <row r="22" spans="1:7" ht="59.25" customHeight="1" x14ac:dyDescent="0.2">
      <c r="A22" s="91" t="s">
        <v>35</v>
      </c>
      <c r="B22" s="73"/>
      <c r="C22" s="7" t="s">
        <v>36</v>
      </c>
      <c r="D22" s="8" t="str" cm="1">
        <f t="array" ref="D22">IFERROR(LOOKUP(2,1/(F17:F21&lt;&gt;""),{1;2;3;4;5}),"")</f>
        <v/>
      </c>
      <c r="E22" s="112" t="s">
        <v>37</v>
      </c>
      <c r="F22" s="73"/>
      <c r="G22" s="73"/>
    </row>
    <row r="24" spans="1:7" ht="22" customHeight="1" x14ac:dyDescent="0.2">
      <c r="A24" s="81" t="s">
        <v>238</v>
      </c>
      <c r="B24" s="82"/>
      <c r="C24" s="82"/>
      <c r="D24" s="82"/>
      <c r="E24" s="82"/>
      <c r="F24" s="82"/>
      <c r="G24" s="82"/>
    </row>
    <row r="25" spans="1:7" ht="16" customHeight="1" x14ac:dyDescent="0.2">
      <c r="A25" s="90" t="s">
        <v>38</v>
      </c>
      <c r="B25" s="73"/>
      <c r="C25" s="73"/>
      <c r="D25" s="73"/>
      <c r="E25" s="73"/>
      <c r="F25" s="73"/>
      <c r="G25" s="73"/>
    </row>
    <row r="26" spans="1:7" ht="16" customHeight="1" x14ac:dyDescent="0.2">
      <c r="A26" s="86" t="s">
        <v>0</v>
      </c>
      <c r="B26" s="87"/>
      <c r="C26" s="30" t="s">
        <v>143</v>
      </c>
      <c r="D26" s="30" t="s">
        <v>39</v>
      </c>
      <c r="E26" s="30" t="s">
        <v>93</v>
      </c>
      <c r="F26" s="2" t="s">
        <v>33</v>
      </c>
      <c r="G26" s="30" t="s">
        <v>24</v>
      </c>
    </row>
    <row r="27" spans="1:7" ht="39" x14ac:dyDescent="0.2">
      <c r="A27" s="33" t="s">
        <v>13</v>
      </c>
      <c r="B27" s="32" t="s">
        <v>11</v>
      </c>
      <c r="C27" s="42" t="s">
        <v>196</v>
      </c>
      <c r="D27" s="31" t="s">
        <v>197</v>
      </c>
      <c r="E27" s="43" t="s">
        <v>254</v>
      </c>
      <c r="F27" s="6"/>
      <c r="G27" s="5"/>
    </row>
    <row r="28" spans="1:7" ht="39" x14ac:dyDescent="0.2">
      <c r="A28" s="35" t="s">
        <v>16</v>
      </c>
      <c r="B28" s="34" t="s">
        <v>14</v>
      </c>
      <c r="C28" s="42" t="s">
        <v>198</v>
      </c>
      <c r="D28" s="31" t="s">
        <v>202</v>
      </c>
      <c r="E28" s="43" t="s">
        <v>201</v>
      </c>
      <c r="F28" s="6"/>
      <c r="G28" s="5"/>
    </row>
    <row r="29" spans="1:7" ht="65" x14ac:dyDescent="0.2">
      <c r="A29" s="37" t="s">
        <v>19</v>
      </c>
      <c r="B29" s="40" t="s">
        <v>17</v>
      </c>
      <c r="C29" s="42" t="s">
        <v>199</v>
      </c>
      <c r="D29" s="31" t="s">
        <v>203</v>
      </c>
      <c r="E29" s="43" t="s">
        <v>255</v>
      </c>
      <c r="F29" s="6"/>
      <c r="G29" s="5"/>
    </row>
    <row r="30" spans="1:7" ht="52" x14ac:dyDescent="0.2">
      <c r="A30" s="38" t="s">
        <v>72</v>
      </c>
      <c r="B30" s="41" t="s">
        <v>20</v>
      </c>
      <c r="C30" s="42" t="s">
        <v>200</v>
      </c>
      <c r="D30" s="31" t="s">
        <v>204</v>
      </c>
      <c r="E30" s="43" t="s">
        <v>256</v>
      </c>
      <c r="F30" s="6"/>
      <c r="G30" s="5"/>
    </row>
    <row r="31" spans="1:7" ht="53.25" customHeight="1" x14ac:dyDescent="0.2">
      <c r="A31" s="91" t="s">
        <v>40</v>
      </c>
      <c r="B31" s="73"/>
      <c r="C31" s="7" t="s">
        <v>41</v>
      </c>
      <c r="D31" s="8" t="str" cm="1">
        <f t="array" ref="D31">IFERROR(LOOKUP(2,1/(F27:F30&lt;&gt;""),{1;2;3;4}),"")</f>
        <v/>
      </c>
      <c r="E31" s="112" t="s">
        <v>37</v>
      </c>
      <c r="F31" s="73"/>
      <c r="G31" s="73"/>
    </row>
    <row r="34" spans="1:7" ht="16" x14ac:dyDescent="0.2">
      <c r="A34" s="108" t="s">
        <v>266</v>
      </c>
      <c r="B34" s="108"/>
      <c r="C34" s="108"/>
      <c r="D34" s="108"/>
      <c r="E34" s="108"/>
      <c r="F34" s="108"/>
      <c r="G34" s="108"/>
    </row>
    <row r="35" spans="1:7" ht="27.75" customHeight="1" x14ac:dyDescent="0.2">
      <c r="A35" s="109" t="s">
        <v>261</v>
      </c>
      <c r="B35" s="109"/>
      <c r="C35" s="109" t="s">
        <v>262</v>
      </c>
      <c r="D35" s="109"/>
      <c r="E35" s="109"/>
      <c r="F35" s="109"/>
      <c r="G35" s="109"/>
    </row>
    <row r="36" spans="1:7" x14ac:dyDescent="0.2">
      <c r="A36" s="110" t="s">
        <v>263</v>
      </c>
      <c r="B36" s="110"/>
      <c r="C36" s="111" t="s">
        <v>264</v>
      </c>
      <c r="D36" s="111"/>
      <c r="E36" s="111"/>
      <c r="F36" s="111"/>
      <c r="G36" s="111"/>
    </row>
    <row r="37" spans="1:7" x14ac:dyDescent="0.2">
      <c r="A37" s="110" t="s">
        <v>7</v>
      </c>
      <c r="B37" s="110"/>
      <c r="C37" s="111" t="s">
        <v>279</v>
      </c>
      <c r="D37" s="111"/>
      <c r="E37" s="111"/>
      <c r="F37" s="111"/>
      <c r="G37" s="111"/>
    </row>
    <row r="38" spans="1:7" x14ac:dyDescent="0.2">
      <c r="A38" s="110" t="s">
        <v>9</v>
      </c>
      <c r="B38" s="110"/>
      <c r="C38" s="111" t="s">
        <v>280</v>
      </c>
      <c r="D38" s="111"/>
      <c r="E38" s="111"/>
      <c r="F38" s="111"/>
      <c r="G38" s="111"/>
    </row>
    <row r="39" spans="1:7" x14ac:dyDescent="0.2">
      <c r="A39" s="110" t="s">
        <v>10</v>
      </c>
      <c r="B39" s="110"/>
      <c r="C39" s="111" t="s">
        <v>281</v>
      </c>
      <c r="D39" s="111"/>
      <c r="E39" s="111"/>
      <c r="F39" s="111"/>
      <c r="G39" s="111"/>
    </row>
    <row r="41" spans="1:7" ht="32.25" customHeight="1" x14ac:dyDescent="0.2">
      <c r="A41" s="109" t="s">
        <v>265</v>
      </c>
      <c r="B41" s="109"/>
      <c r="C41" s="109" t="s">
        <v>262</v>
      </c>
      <c r="D41" s="109"/>
      <c r="E41" s="109"/>
      <c r="F41" s="109"/>
      <c r="G41" s="109"/>
    </row>
    <row r="42" spans="1:7" x14ac:dyDescent="0.2">
      <c r="A42" s="110" t="s">
        <v>13</v>
      </c>
      <c r="B42" s="110"/>
      <c r="C42" s="111" t="s">
        <v>282</v>
      </c>
      <c r="D42" s="111"/>
      <c r="E42" s="111"/>
      <c r="F42" s="111"/>
      <c r="G42" s="111"/>
    </row>
    <row r="43" spans="1:7" x14ac:dyDescent="0.2">
      <c r="A43" s="110" t="s">
        <v>16</v>
      </c>
      <c r="B43" s="110"/>
      <c r="C43" s="111" t="s">
        <v>283</v>
      </c>
      <c r="D43" s="111"/>
      <c r="E43" s="111"/>
      <c r="F43" s="111"/>
      <c r="G43" s="111"/>
    </row>
    <row r="44" spans="1:7" x14ac:dyDescent="0.2">
      <c r="A44" s="110" t="s">
        <v>19</v>
      </c>
      <c r="B44" s="110"/>
      <c r="C44" s="111" t="s">
        <v>284</v>
      </c>
      <c r="D44" s="111"/>
      <c r="E44" s="111"/>
      <c r="F44" s="111"/>
      <c r="G44" s="111"/>
    </row>
    <row r="45" spans="1:7" x14ac:dyDescent="0.2">
      <c r="A45" s="110" t="s">
        <v>72</v>
      </c>
      <c r="B45" s="110"/>
      <c r="C45" s="111" t="s">
        <v>285</v>
      </c>
      <c r="D45" s="111"/>
      <c r="E45" s="111"/>
      <c r="F45" s="111"/>
      <c r="G45" s="111"/>
    </row>
  </sheetData>
  <mergeCells count="45">
    <mergeCell ref="A44:B44"/>
    <mergeCell ref="C44:G44"/>
    <mergeCell ref="A45:B45"/>
    <mergeCell ref="C45:G45"/>
    <mergeCell ref="A41:B41"/>
    <mergeCell ref="C41:G41"/>
    <mergeCell ref="A42:B42"/>
    <mergeCell ref="C42:G42"/>
    <mergeCell ref="A43:B43"/>
    <mergeCell ref="C43:G43"/>
    <mergeCell ref="A37:B37"/>
    <mergeCell ref="C37:G37"/>
    <mergeCell ref="A38:B38"/>
    <mergeCell ref="C38:G38"/>
    <mergeCell ref="A39:B39"/>
    <mergeCell ref="C39:G39"/>
    <mergeCell ref="A34:G34"/>
    <mergeCell ref="A35:B35"/>
    <mergeCell ref="C35:G35"/>
    <mergeCell ref="A36:B36"/>
    <mergeCell ref="C36:G36"/>
    <mergeCell ref="A14:G14"/>
    <mergeCell ref="A15:G15"/>
    <mergeCell ref="A22:B22"/>
    <mergeCell ref="A2:B2"/>
    <mergeCell ref="A1:G1"/>
    <mergeCell ref="A11:B11"/>
    <mergeCell ref="A12:B12"/>
    <mergeCell ref="A6:E6"/>
    <mergeCell ref="A26:B26"/>
    <mergeCell ref="A31:B31"/>
    <mergeCell ref="E31:G31"/>
    <mergeCell ref="C2:G2"/>
    <mergeCell ref="A25:G25"/>
    <mergeCell ref="E22:G22"/>
    <mergeCell ref="A3:B3"/>
    <mergeCell ref="C3:G3"/>
    <mergeCell ref="A24:G24"/>
    <mergeCell ref="A4:B4"/>
    <mergeCell ref="C4:G4"/>
    <mergeCell ref="A16:B16"/>
    <mergeCell ref="A7:B7"/>
    <mergeCell ref="A8:B8"/>
    <mergeCell ref="A9:B9"/>
    <mergeCell ref="A10:B10"/>
  </mergeCells>
  <dataValidations count="2">
    <dataValidation type="list" allowBlank="1" sqref="D8:D12" xr:uid="{00000000-0002-0000-0400-000000000000}">
      <formula1>"Yes,No"</formula1>
    </dataValidation>
    <dataValidation type="list" allowBlank="1" showInputMessage="1" showErrorMessage="1" sqref="F17:F21 F27:F30" xr:uid="{BF0A8190-D765-6346-A896-A969F61DDED6}">
      <formula1>"✓,"</formula1>
    </dataValidation>
  </dataValidations>
  <pageMargins left="0.75" right="0.75" top="1" bottom="1" header="0.5" footer="0.5"/>
  <pageSetup paperSize="9" scale="45"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44"/>
  <sheetViews>
    <sheetView showGridLines="0" zoomScaleNormal="100" workbookViewId="0">
      <selection activeCell="C11" sqref="C11"/>
    </sheetView>
  </sheetViews>
  <sheetFormatPr baseColWidth="10" defaultColWidth="8.83203125" defaultRowHeight="15" x14ac:dyDescent="0.2"/>
  <cols>
    <col min="1" max="1" width="5" customWidth="1"/>
    <col min="2" max="2" width="17.33203125" customWidth="1"/>
    <col min="3" max="3" width="55" customWidth="1"/>
    <col min="4" max="4" width="32.5" customWidth="1"/>
    <col min="5" max="5" width="40" customWidth="1"/>
    <col min="6" max="7" width="20" customWidth="1"/>
  </cols>
  <sheetData>
    <row r="1" spans="1:7" ht="30" customHeight="1" x14ac:dyDescent="0.2">
      <c r="A1" s="119" t="s">
        <v>55</v>
      </c>
      <c r="B1" s="99"/>
      <c r="C1" s="99"/>
      <c r="D1" s="99"/>
      <c r="E1" s="99"/>
      <c r="F1" s="99"/>
      <c r="G1" s="99"/>
    </row>
    <row r="2" spans="1:7" ht="38.25" customHeight="1" x14ac:dyDescent="0.2">
      <c r="A2" s="96" t="s">
        <v>84</v>
      </c>
      <c r="B2" s="123"/>
      <c r="C2" s="106" t="s">
        <v>205</v>
      </c>
      <c r="D2" s="106"/>
      <c r="E2" s="106"/>
      <c r="F2" s="106"/>
      <c r="G2" s="106"/>
    </row>
    <row r="3" spans="1:7" ht="43.5" customHeight="1" x14ac:dyDescent="0.2">
      <c r="A3" s="104" t="s">
        <v>85</v>
      </c>
      <c r="B3" s="121"/>
      <c r="C3" s="102" t="s">
        <v>206</v>
      </c>
      <c r="D3" s="122"/>
      <c r="E3" s="122"/>
      <c r="F3" s="122"/>
      <c r="G3" s="122"/>
    </row>
    <row r="4" spans="1:7" ht="22.5" customHeight="1" x14ac:dyDescent="0.2">
      <c r="A4" s="101" t="s">
        <v>86</v>
      </c>
      <c r="B4" s="101"/>
      <c r="C4" s="100" t="s">
        <v>207</v>
      </c>
      <c r="D4" s="100"/>
      <c r="E4" s="100"/>
      <c r="F4" s="100"/>
      <c r="G4" s="100"/>
    </row>
    <row r="6" spans="1:7" ht="22" customHeight="1" x14ac:dyDescent="0.2">
      <c r="A6" s="120" t="s">
        <v>239</v>
      </c>
      <c r="B6" s="120"/>
      <c r="C6" s="120"/>
      <c r="D6" s="120"/>
      <c r="E6" s="120"/>
    </row>
    <row r="7" spans="1:7" ht="16" customHeight="1" x14ac:dyDescent="0.2">
      <c r="A7" s="113" t="s">
        <v>22</v>
      </c>
      <c r="B7" s="87"/>
      <c r="C7" s="2" t="s">
        <v>23</v>
      </c>
      <c r="D7" s="30" t="s">
        <v>92</v>
      </c>
      <c r="E7" s="30" t="s">
        <v>24</v>
      </c>
    </row>
    <row r="8" spans="1:7" ht="39" x14ac:dyDescent="0.2">
      <c r="A8" s="115">
        <v>5.0999999999999996</v>
      </c>
      <c r="B8" s="116"/>
      <c r="C8" s="42" t="s">
        <v>209</v>
      </c>
      <c r="D8" s="4"/>
      <c r="E8" s="5"/>
    </row>
    <row r="9" spans="1:7" ht="52" x14ac:dyDescent="0.2">
      <c r="A9" s="117">
        <v>5.2</v>
      </c>
      <c r="B9" s="118"/>
      <c r="C9" s="31" t="s">
        <v>210</v>
      </c>
      <c r="D9" s="4"/>
      <c r="E9" s="5"/>
    </row>
    <row r="10" spans="1:7" ht="39" x14ac:dyDescent="0.2">
      <c r="A10" s="115">
        <v>5.3</v>
      </c>
      <c r="B10" s="116"/>
      <c r="C10" s="42" t="s">
        <v>211</v>
      </c>
      <c r="D10" s="4"/>
      <c r="E10" s="5"/>
    </row>
    <row r="11" spans="1:7" ht="52" x14ac:dyDescent="0.2">
      <c r="A11" s="117">
        <v>5.4</v>
      </c>
      <c r="B11" s="118"/>
      <c r="C11" s="31" t="s">
        <v>438</v>
      </c>
      <c r="D11" s="4"/>
      <c r="E11" s="5"/>
    </row>
    <row r="12" spans="1:7" ht="39" x14ac:dyDescent="0.2">
      <c r="A12" s="115">
        <v>5.5</v>
      </c>
      <c r="B12" s="116"/>
      <c r="C12" s="42" t="s">
        <v>439</v>
      </c>
      <c r="D12" s="4"/>
      <c r="E12" s="5"/>
    </row>
    <row r="14" spans="1:7" ht="22" customHeight="1" x14ac:dyDescent="0.2">
      <c r="A14" s="81" t="s">
        <v>322</v>
      </c>
      <c r="B14" s="82"/>
      <c r="C14" s="82"/>
      <c r="D14" s="82"/>
      <c r="E14" s="82"/>
      <c r="F14" s="82"/>
      <c r="G14" s="82"/>
    </row>
    <row r="15" spans="1:7" ht="16" customHeight="1" x14ac:dyDescent="0.2">
      <c r="A15" s="90" t="s">
        <v>30</v>
      </c>
      <c r="B15" s="73"/>
      <c r="C15" s="73"/>
      <c r="D15" s="73"/>
      <c r="E15" s="73"/>
      <c r="F15" s="73"/>
      <c r="G15" s="73"/>
    </row>
    <row r="16" spans="1:7" ht="16" customHeight="1" x14ac:dyDescent="0.2">
      <c r="A16" s="86" t="s">
        <v>0</v>
      </c>
      <c r="B16" s="87"/>
      <c r="C16" s="2" t="s">
        <v>31</v>
      </c>
      <c r="D16" s="2" t="s">
        <v>32</v>
      </c>
      <c r="E16" s="30" t="s">
        <v>89</v>
      </c>
      <c r="F16" s="2" t="s">
        <v>33</v>
      </c>
      <c r="G16" s="30" t="s">
        <v>24</v>
      </c>
    </row>
    <row r="17" spans="1:7" ht="52" x14ac:dyDescent="0.2">
      <c r="A17" s="33" t="s">
        <v>2</v>
      </c>
      <c r="B17" s="32" t="s">
        <v>208</v>
      </c>
      <c r="C17" s="42" t="s">
        <v>212</v>
      </c>
      <c r="D17" s="31" t="s">
        <v>213</v>
      </c>
      <c r="E17" s="43" t="s">
        <v>214</v>
      </c>
      <c r="F17" s="6"/>
      <c r="G17" s="5"/>
    </row>
    <row r="18" spans="1:7" ht="91" x14ac:dyDescent="0.2">
      <c r="A18" s="35" t="s">
        <v>5</v>
      </c>
      <c r="B18" s="34" t="s">
        <v>56</v>
      </c>
      <c r="C18" s="42" t="s">
        <v>88</v>
      </c>
      <c r="D18" s="31" t="s">
        <v>444</v>
      </c>
      <c r="E18" s="43" t="s">
        <v>215</v>
      </c>
      <c r="F18" s="6"/>
      <c r="G18" s="5"/>
    </row>
    <row r="19" spans="1:7" ht="117" x14ac:dyDescent="0.2">
      <c r="A19" s="36" t="s">
        <v>7</v>
      </c>
      <c r="B19" s="39" t="s">
        <v>57</v>
      </c>
      <c r="C19" s="42" t="s">
        <v>155</v>
      </c>
      <c r="D19" s="31" t="s">
        <v>216</v>
      </c>
      <c r="E19" s="43" t="s">
        <v>217</v>
      </c>
      <c r="F19" s="6"/>
      <c r="G19" s="5"/>
    </row>
    <row r="20" spans="1:7" ht="104" x14ac:dyDescent="0.2">
      <c r="A20" s="37" t="s">
        <v>9</v>
      </c>
      <c r="B20" s="40" t="s">
        <v>58</v>
      </c>
      <c r="C20" s="42" t="s">
        <v>190</v>
      </c>
      <c r="D20" s="31" t="s">
        <v>218</v>
      </c>
      <c r="E20" s="43" t="s">
        <v>219</v>
      </c>
      <c r="F20" s="6"/>
      <c r="G20" s="5"/>
    </row>
    <row r="21" spans="1:7" ht="104" x14ac:dyDescent="0.2">
      <c r="A21" s="38" t="s">
        <v>10</v>
      </c>
      <c r="B21" s="41" t="s">
        <v>59</v>
      </c>
      <c r="C21" s="42" t="s">
        <v>193</v>
      </c>
      <c r="D21" s="31" t="s">
        <v>220</v>
      </c>
      <c r="E21" s="43" t="s">
        <v>221</v>
      </c>
      <c r="F21" s="6"/>
      <c r="G21" s="5"/>
    </row>
    <row r="22" spans="1:7" ht="40.5" customHeight="1" x14ac:dyDescent="0.2">
      <c r="A22" s="91" t="s">
        <v>35</v>
      </c>
      <c r="B22" s="73"/>
      <c r="C22" s="7" t="s">
        <v>36</v>
      </c>
      <c r="D22" s="8" t="str" cm="1">
        <f t="array" ref="D22">IFERROR(LOOKUP(2,1/(F17:F21&lt;&gt;""),{1;2;3;4;5}),"")</f>
        <v/>
      </c>
      <c r="E22" s="112" t="s">
        <v>37</v>
      </c>
      <c r="F22" s="73"/>
      <c r="G22" s="73"/>
    </row>
    <row r="24" spans="1:7" ht="22" customHeight="1" x14ac:dyDescent="0.2">
      <c r="A24" s="81" t="s">
        <v>238</v>
      </c>
      <c r="B24" s="82"/>
      <c r="C24" s="82"/>
      <c r="D24" s="82"/>
      <c r="E24" s="82"/>
      <c r="F24" s="82"/>
      <c r="G24" s="82"/>
    </row>
    <row r="25" spans="1:7" ht="16" customHeight="1" x14ac:dyDescent="0.2">
      <c r="A25" s="90" t="s">
        <v>38</v>
      </c>
      <c r="B25" s="73"/>
      <c r="C25" s="73"/>
      <c r="D25" s="73"/>
      <c r="E25" s="73"/>
      <c r="F25" s="73"/>
      <c r="G25" s="73"/>
    </row>
    <row r="26" spans="1:7" ht="16" customHeight="1" x14ac:dyDescent="0.2">
      <c r="A26" s="86" t="s">
        <v>0</v>
      </c>
      <c r="B26" s="87"/>
      <c r="C26" s="30" t="s">
        <v>143</v>
      </c>
      <c r="D26" s="30" t="s">
        <v>39</v>
      </c>
      <c r="E26" s="30" t="s">
        <v>93</v>
      </c>
      <c r="F26" s="2" t="s">
        <v>33</v>
      </c>
      <c r="G26" s="30" t="s">
        <v>24</v>
      </c>
    </row>
    <row r="27" spans="1:7" ht="65" x14ac:dyDescent="0.2">
      <c r="A27" s="33" t="s">
        <v>13</v>
      </c>
      <c r="B27" s="32" t="s">
        <v>11</v>
      </c>
      <c r="C27" s="42" t="s">
        <v>222</v>
      </c>
      <c r="D27" s="5" t="s">
        <v>260</v>
      </c>
      <c r="E27" s="43" t="s">
        <v>258</v>
      </c>
      <c r="F27" s="6"/>
      <c r="G27" s="5"/>
    </row>
    <row r="28" spans="1:7" ht="52" x14ac:dyDescent="0.2">
      <c r="A28" s="35" t="s">
        <v>16</v>
      </c>
      <c r="B28" s="34" t="s">
        <v>14</v>
      </c>
      <c r="C28" s="42" t="s">
        <v>223</v>
      </c>
      <c r="D28" s="31" t="s">
        <v>226</v>
      </c>
      <c r="E28" s="43" t="s">
        <v>229</v>
      </c>
      <c r="F28" s="6"/>
      <c r="G28" s="5"/>
    </row>
    <row r="29" spans="1:7" ht="78" x14ac:dyDescent="0.2">
      <c r="A29" s="37" t="s">
        <v>19</v>
      </c>
      <c r="B29" s="40" t="s">
        <v>17</v>
      </c>
      <c r="C29" s="42" t="s">
        <v>224</v>
      </c>
      <c r="D29" s="31" t="s">
        <v>227</v>
      </c>
      <c r="E29" s="43" t="s">
        <v>257</v>
      </c>
      <c r="F29" s="6"/>
      <c r="G29" s="5"/>
    </row>
    <row r="30" spans="1:7" ht="52" x14ac:dyDescent="0.2">
      <c r="A30" s="38" t="s">
        <v>72</v>
      </c>
      <c r="B30" s="41" t="s">
        <v>20</v>
      </c>
      <c r="C30" s="42" t="s">
        <v>225</v>
      </c>
      <c r="D30" s="31" t="s">
        <v>228</v>
      </c>
      <c r="E30" s="43" t="s">
        <v>259</v>
      </c>
      <c r="F30" s="6"/>
      <c r="G30" s="5"/>
    </row>
    <row r="31" spans="1:7" ht="22" customHeight="1" x14ac:dyDescent="0.2">
      <c r="A31" s="91" t="s">
        <v>40</v>
      </c>
      <c r="B31" s="73"/>
      <c r="C31" s="44" t="s">
        <v>41</v>
      </c>
      <c r="D31" s="8" t="str" cm="1">
        <f t="array" ref="D31">IFERROR(LOOKUP(2,1/(F27:F30&lt;&gt;""),{1;2;3;4}),"")</f>
        <v/>
      </c>
      <c r="E31" s="112" t="s">
        <v>37</v>
      </c>
      <c r="F31" s="73"/>
      <c r="G31" s="73"/>
    </row>
    <row r="33" spans="1:7" ht="16" x14ac:dyDescent="0.2">
      <c r="A33" s="108" t="s">
        <v>271</v>
      </c>
      <c r="B33" s="108"/>
      <c r="C33" s="108"/>
      <c r="D33" s="108"/>
      <c r="E33" s="108"/>
      <c r="F33" s="108"/>
      <c r="G33" s="108"/>
    </row>
    <row r="34" spans="1:7" x14ac:dyDescent="0.2">
      <c r="A34" s="109" t="s">
        <v>261</v>
      </c>
      <c r="B34" s="109"/>
      <c r="C34" s="109" t="s">
        <v>262</v>
      </c>
      <c r="D34" s="109"/>
      <c r="E34" s="109"/>
      <c r="F34" s="109"/>
      <c r="G34" s="109"/>
    </row>
    <row r="35" spans="1:7" x14ac:dyDescent="0.2">
      <c r="A35" s="110" t="s">
        <v>263</v>
      </c>
      <c r="B35" s="110"/>
      <c r="C35" s="111" t="s">
        <v>270</v>
      </c>
      <c r="D35" s="111"/>
      <c r="E35" s="111"/>
      <c r="F35" s="111"/>
      <c r="G35" s="111"/>
    </row>
    <row r="36" spans="1:7" x14ac:dyDescent="0.2">
      <c r="A36" s="110" t="s">
        <v>7</v>
      </c>
      <c r="B36" s="110"/>
      <c r="C36" s="111" t="s">
        <v>272</v>
      </c>
      <c r="D36" s="111"/>
      <c r="E36" s="111"/>
      <c r="F36" s="111"/>
      <c r="G36" s="111"/>
    </row>
    <row r="37" spans="1:7" x14ac:dyDescent="0.2">
      <c r="A37" s="110" t="s">
        <v>9</v>
      </c>
      <c r="B37" s="110"/>
      <c r="C37" s="111" t="s">
        <v>273</v>
      </c>
      <c r="D37" s="111"/>
      <c r="E37" s="111"/>
      <c r="F37" s="111"/>
      <c r="G37" s="111"/>
    </row>
    <row r="38" spans="1:7" x14ac:dyDescent="0.2">
      <c r="A38" s="110" t="s">
        <v>10</v>
      </c>
      <c r="B38" s="110"/>
      <c r="C38" s="111" t="s">
        <v>274</v>
      </c>
      <c r="D38" s="111"/>
      <c r="E38" s="111"/>
      <c r="F38" s="111"/>
      <c r="G38" s="111"/>
    </row>
    <row r="40" spans="1:7" ht="27.75" customHeight="1" x14ac:dyDescent="0.2">
      <c r="A40" s="109" t="s">
        <v>265</v>
      </c>
      <c r="B40" s="109"/>
      <c r="C40" s="109" t="s">
        <v>262</v>
      </c>
      <c r="D40" s="109"/>
      <c r="E40" s="109"/>
      <c r="F40" s="109"/>
      <c r="G40" s="109"/>
    </row>
    <row r="41" spans="1:7" x14ac:dyDescent="0.2">
      <c r="A41" s="110" t="s">
        <v>13</v>
      </c>
      <c r="B41" s="110"/>
      <c r="C41" s="111" t="s">
        <v>275</v>
      </c>
      <c r="D41" s="111"/>
      <c r="E41" s="111"/>
      <c r="F41" s="111"/>
      <c r="G41" s="111"/>
    </row>
    <row r="42" spans="1:7" x14ac:dyDescent="0.2">
      <c r="A42" s="110" t="s">
        <v>16</v>
      </c>
      <c r="B42" s="110"/>
      <c r="C42" s="111" t="s">
        <v>276</v>
      </c>
      <c r="D42" s="111"/>
      <c r="E42" s="111"/>
      <c r="F42" s="111"/>
      <c r="G42" s="111"/>
    </row>
    <row r="43" spans="1:7" x14ac:dyDescent="0.2">
      <c r="A43" s="110" t="s">
        <v>19</v>
      </c>
      <c r="B43" s="110"/>
      <c r="C43" s="111" t="s">
        <v>277</v>
      </c>
      <c r="D43" s="111"/>
      <c r="E43" s="111"/>
      <c r="F43" s="111"/>
      <c r="G43" s="111"/>
    </row>
    <row r="44" spans="1:7" x14ac:dyDescent="0.2">
      <c r="A44" s="110" t="s">
        <v>72</v>
      </c>
      <c r="B44" s="110"/>
      <c r="C44" s="111" t="s">
        <v>278</v>
      </c>
      <c r="D44" s="111"/>
      <c r="E44" s="111"/>
      <c r="F44" s="111"/>
      <c r="G44" s="111"/>
    </row>
  </sheetData>
  <mergeCells count="45">
    <mergeCell ref="A43:B43"/>
    <mergeCell ref="C43:G43"/>
    <mergeCell ref="A44:B44"/>
    <mergeCell ref="C44:G44"/>
    <mergeCell ref="A40:B40"/>
    <mergeCell ref="C40:G40"/>
    <mergeCell ref="A41:B41"/>
    <mergeCell ref="C41:G41"/>
    <mergeCell ref="A42:B42"/>
    <mergeCell ref="C42:G42"/>
    <mergeCell ref="A36:B36"/>
    <mergeCell ref="C36:G36"/>
    <mergeCell ref="A37:B37"/>
    <mergeCell ref="C37:G37"/>
    <mergeCell ref="A38:B38"/>
    <mergeCell ref="C38:G38"/>
    <mergeCell ref="A33:G33"/>
    <mergeCell ref="A34:B34"/>
    <mergeCell ref="C34:G34"/>
    <mergeCell ref="A35:B35"/>
    <mergeCell ref="C35:G35"/>
    <mergeCell ref="A14:G14"/>
    <mergeCell ref="A15:G15"/>
    <mergeCell ref="A22:B22"/>
    <mergeCell ref="A2:B2"/>
    <mergeCell ref="A1:G1"/>
    <mergeCell ref="A10:B10"/>
    <mergeCell ref="A11:B11"/>
    <mergeCell ref="A12:B12"/>
    <mergeCell ref="A26:B26"/>
    <mergeCell ref="A31:B31"/>
    <mergeCell ref="E31:G31"/>
    <mergeCell ref="C2:G2"/>
    <mergeCell ref="A25:G25"/>
    <mergeCell ref="E22:G22"/>
    <mergeCell ref="A3:B3"/>
    <mergeCell ref="C3:G3"/>
    <mergeCell ref="A24:G24"/>
    <mergeCell ref="A4:B4"/>
    <mergeCell ref="C4:G4"/>
    <mergeCell ref="A6:E6"/>
    <mergeCell ref="A16:B16"/>
    <mergeCell ref="A7:B7"/>
    <mergeCell ref="A8:B8"/>
    <mergeCell ref="A9:B9"/>
  </mergeCells>
  <dataValidations count="2">
    <dataValidation type="list" allowBlank="1" sqref="D8:D12" xr:uid="{00000000-0002-0000-0500-000000000000}">
      <formula1>"Yes,No,Partial,N/A"</formula1>
    </dataValidation>
    <dataValidation type="list" allowBlank="1" showInputMessage="1" showErrorMessage="1" sqref="F17:F21 F27:F30" xr:uid="{C2EB8C0D-CACF-514E-B4CD-16E79A4D53FF}">
      <formula1>"✓,"</formula1>
    </dataValidation>
  </dataValidations>
  <pageMargins left="0.75" right="0.75" top="1" bottom="1" header="0.5" footer="0.5"/>
  <pageSetup paperSize="9" scale="45"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25"/>
  <sheetViews>
    <sheetView showGridLines="0" zoomScale="75" workbookViewId="0">
      <selection activeCell="C5" sqref="C5"/>
    </sheetView>
  </sheetViews>
  <sheetFormatPr baseColWidth="10" defaultColWidth="8.83203125" defaultRowHeight="15" x14ac:dyDescent="0.2"/>
  <cols>
    <col min="1" max="1" width="16.33203125" customWidth="1"/>
    <col min="2" max="2" width="30.33203125" bestFit="1" customWidth="1"/>
    <col min="3" max="3" width="16.5" bestFit="1" customWidth="1"/>
    <col min="4" max="4" width="27.5" bestFit="1" customWidth="1"/>
    <col min="5" max="5" width="23.83203125" customWidth="1"/>
    <col min="6" max="6" width="25" customWidth="1"/>
  </cols>
  <sheetData>
    <row r="1" spans="1:6" ht="36" customHeight="1" x14ac:dyDescent="0.2">
      <c r="A1" s="126" t="s">
        <v>230</v>
      </c>
      <c r="B1" s="73"/>
      <c r="C1" s="73"/>
      <c r="D1" s="73"/>
      <c r="E1" s="73"/>
      <c r="F1" s="73"/>
    </row>
    <row r="2" spans="1:6" ht="52.5" customHeight="1" x14ac:dyDescent="0.2">
      <c r="A2" s="131" t="s">
        <v>231</v>
      </c>
      <c r="B2" s="132"/>
      <c r="C2" s="132"/>
      <c r="D2" s="132"/>
      <c r="E2" s="132"/>
      <c r="F2" s="132"/>
    </row>
    <row r="4" spans="1:6" ht="20" customHeight="1" x14ac:dyDescent="0.2">
      <c r="A4" s="45" t="s">
        <v>22</v>
      </c>
      <c r="B4" s="9" t="s">
        <v>60</v>
      </c>
      <c r="C4" s="9" t="s">
        <v>61</v>
      </c>
      <c r="D4" s="9" t="s">
        <v>62</v>
      </c>
      <c r="E4" s="9" t="s">
        <v>63</v>
      </c>
      <c r="F4" s="9" t="s">
        <v>64</v>
      </c>
    </row>
    <row r="5" spans="1:6" ht="30" customHeight="1" x14ac:dyDescent="0.2">
      <c r="A5" s="45">
        <v>1</v>
      </c>
      <c r="B5" s="10" t="s">
        <v>65</v>
      </c>
      <c r="C5" s="8" t="str">
        <f>'C1'!D22</f>
        <v/>
      </c>
      <c r="D5" s="8" t="str">
        <f>'C1'!D31</f>
        <v/>
      </c>
      <c r="E5" s="5"/>
      <c r="F5" s="5"/>
    </row>
    <row r="6" spans="1:6" ht="30" customHeight="1" x14ac:dyDescent="0.2">
      <c r="A6" s="9">
        <v>2</v>
      </c>
      <c r="B6" s="11" t="s">
        <v>66</v>
      </c>
      <c r="C6" s="8" t="str">
        <f>'C2'!D22</f>
        <v/>
      </c>
      <c r="D6" s="8" t="str">
        <f>'C2'!D31</f>
        <v/>
      </c>
      <c r="E6" s="5"/>
      <c r="F6" s="5"/>
    </row>
    <row r="7" spans="1:6" ht="30" customHeight="1" x14ac:dyDescent="0.2">
      <c r="A7" s="9">
        <v>3</v>
      </c>
      <c r="B7" s="10" t="s">
        <v>67</v>
      </c>
      <c r="C7" s="8" t="str">
        <f>'C3'!D22</f>
        <v/>
      </c>
      <c r="D7" s="8" t="str">
        <f>'C3'!D31</f>
        <v/>
      </c>
      <c r="E7" s="5"/>
      <c r="F7" s="5"/>
    </row>
    <row r="8" spans="1:6" ht="30" customHeight="1" x14ac:dyDescent="0.2">
      <c r="A8" s="9">
        <v>4</v>
      </c>
      <c r="B8" s="11" t="s">
        <v>68</v>
      </c>
      <c r="C8" s="8" t="str">
        <f>'C4'!D22</f>
        <v/>
      </c>
      <c r="D8" s="8" t="str">
        <f>'C4'!D31</f>
        <v/>
      </c>
      <c r="E8" s="5"/>
      <c r="F8" s="5"/>
    </row>
    <row r="9" spans="1:6" ht="30" customHeight="1" x14ac:dyDescent="0.2">
      <c r="A9" s="9">
        <v>5</v>
      </c>
      <c r="B9" s="10" t="s">
        <v>69</v>
      </c>
      <c r="C9" s="8" t="str">
        <f>'C5'!D22</f>
        <v/>
      </c>
      <c r="D9" s="8" t="str">
        <f>'C5'!D31</f>
        <v/>
      </c>
      <c r="E9" s="5"/>
      <c r="F9" s="5"/>
    </row>
    <row r="11" spans="1:6" x14ac:dyDescent="0.2">
      <c r="A11" s="127" t="s">
        <v>232</v>
      </c>
      <c r="B11" s="128"/>
      <c r="C11" s="128"/>
      <c r="D11" s="128"/>
      <c r="E11" s="128"/>
      <c r="F11" s="128"/>
    </row>
    <row r="12" spans="1:6" ht="30" x14ac:dyDescent="0.2">
      <c r="A12" s="12" t="s">
        <v>70</v>
      </c>
      <c r="B12" s="13" t="e">
        <f>AVERAGE(C5:C9)</f>
        <v>#DIV/0!</v>
      </c>
      <c r="C12" s="12" t="s">
        <v>71</v>
      </c>
      <c r="D12" s="13" t="e">
        <f>AVERAGE(D5:D9)</f>
        <v>#DIV/0!</v>
      </c>
    </row>
    <row r="14" spans="1:6" ht="22" customHeight="1" x14ac:dyDescent="0.2">
      <c r="A14" s="127" t="s">
        <v>330</v>
      </c>
      <c r="B14" s="133"/>
      <c r="C14" s="133"/>
      <c r="D14" s="133"/>
      <c r="E14" s="133"/>
      <c r="F14" s="133"/>
    </row>
    <row r="15" spans="1:6" ht="38.25" customHeight="1" x14ac:dyDescent="0.2">
      <c r="A15" s="129" t="s">
        <v>331</v>
      </c>
      <c r="B15" s="130"/>
      <c r="C15" s="130"/>
      <c r="D15" s="130"/>
      <c r="E15" s="130"/>
      <c r="F15" s="130"/>
    </row>
    <row r="16" spans="1:6" ht="50" customHeight="1" x14ac:dyDescent="0.2">
      <c r="A16" s="54" t="s">
        <v>332</v>
      </c>
      <c r="B16" s="52" t="s">
        <v>325</v>
      </c>
      <c r="C16" s="134" t="s">
        <v>464</v>
      </c>
      <c r="D16" s="134"/>
      <c r="E16" s="134"/>
      <c r="F16" s="134"/>
    </row>
    <row r="17" spans="1:6" ht="44" customHeight="1" x14ac:dyDescent="0.2">
      <c r="A17" s="54" t="s">
        <v>333</v>
      </c>
      <c r="B17" s="53" t="s">
        <v>326</v>
      </c>
      <c r="C17" s="135" t="s">
        <v>337</v>
      </c>
      <c r="D17" s="135"/>
      <c r="E17" s="135"/>
      <c r="F17" s="135"/>
    </row>
    <row r="18" spans="1:6" ht="38" customHeight="1" x14ac:dyDescent="0.2">
      <c r="A18" s="55" t="s">
        <v>334</v>
      </c>
      <c r="B18" s="52" t="s">
        <v>327</v>
      </c>
      <c r="C18" s="134" t="s">
        <v>338</v>
      </c>
      <c r="D18" s="134"/>
      <c r="E18" s="134"/>
      <c r="F18" s="134"/>
    </row>
    <row r="19" spans="1:6" ht="34" customHeight="1" x14ac:dyDescent="0.2">
      <c r="A19" s="56" t="s">
        <v>335</v>
      </c>
      <c r="B19" s="53" t="s">
        <v>328</v>
      </c>
      <c r="C19" s="135" t="s">
        <v>339</v>
      </c>
      <c r="D19" s="135"/>
      <c r="E19" s="135"/>
      <c r="F19" s="135"/>
    </row>
    <row r="20" spans="1:6" ht="39" customHeight="1" x14ac:dyDescent="0.2">
      <c r="A20" s="57" t="s">
        <v>336</v>
      </c>
      <c r="B20" s="52" t="s">
        <v>329</v>
      </c>
      <c r="C20" s="134" t="s">
        <v>340</v>
      </c>
      <c r="D20" s="134"/>
      <c r="E20" s="134"/>
      <c r="F20" s="134"/>
    </row>
    <row r="22" spans="1:6" ht="16" x14ac:dyDescent="0.2">
      <c r="A22" s="136" t="s">
        <v>233</v>
      </c>
      <c r="B22" s="137"/>
      <c r="C22" s="137"/>
      <c r="D22" s="137"/>
      <c r="E22" s="137"/>
      <c r="F22" s="137"/>
    </row>
    <row r="23" spans="1:6" x14ac:dyDescent="0.2">
      <c r="A23" s="124" t="s">
        <v>234</v>
      </c>
      <c r="B23" s="125"/>
      <c r="C23" s="14"/>
      <c r="D23" s="14"/>
      <c r="E23" s="14"/>
      <c r="F23" s="14"/>
    </row>
    <row r="24" spans="1:6" ht="31.5" customHeight="1" x14ac:dyDescent="0.2">
      <c r="A24" s="124" t="s">
        <v>235</v>
      </c>
      <c r="B24" s="125"/>
      <c r="C24" s="48"/>
      <c r="D24" s="48"/>
      <c r="E24" s="48"/>
      <c r="F24" s="48"/>
    </row>
    <row r="25" spans="1:6" ht="29.25" customHeight="1" x14ac:dyDescent="0.2">
      <c r="A25" s="124" t="s">
        <v>236</v>
      </c>
      <c r="B25" s="125"/>
      <c r="C25" s="14"/>
      <c r="D25" s="14"/>
      <c r="E25" s="14"/>
      <c r="F25" s="14"/>
    </row>
  </sheetData>
  <mergeCells count="14">
    <mergeCell ref="A24:B24"/>
    <mergeCell ref="A25:B25"/>
    <mergeCell ref="A1:F1"/>
    <mergeCell ref="A11:F11"/>
    <mergeCell ref="A15:F15"/>
    <mergeCell ref="A2:F2"/>
    <mergeCell ref="A14:F14"/>
    <mergeCell ref="C16:F16"/>
    <mergeCell ref="C17:F17"/>
    <mergeCell ref="C18:F18"/>
    <mergeCell ref="C19:F19"/>
    <mergeCell ref="C20:F20"/>
    <mergeCell ref="A22:F22"/>
    <mergeCell ref="A23:B23"/>
  </mergeCells>
  <pageMargins left="0.75" right="0.75" top="1" bottom="1" header="0.5" footer="0.5"/>
  <pageSetup paperSize="9" scale="61" fitToHeight="0"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Instructions</vt:lpstr>
      <vt:lpstr>Definitions</vt:lpstr>
      <vt:lpstr>C1</vt:lpstr>
      <vt:lpstr>C2</vt:lpstr>
      <vt:lpstr>C3</vt:lpstr>
      <vt:lpstr>C4</vt:lpstr>
      <vt:lpstr>C5</vt:lpstr>
      <vt:lpstr>Summary</vt:lpstr>
      <vt:lpstr>'C1'!Print_Area</vt:lpstr>
      <vt:lpstr>'C2'!Print_Area</vt:lpstr>
      <vt:lpstr>'C3'!Print_Area</vt:lpstr>
      <vt:lpstr>'C4'!Print_Area</vt:lpstr>
      <vt:lpstr>'C5'!Print_Area</vt:lpstr>
      <vt:lpstr>Definitions!Print_Area</vt:lpstr>
      <vt:lpstr>Instructions!Print_Area</vt:lpstr>
      <vt:lpstr>Summary!Print_Area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Musawi, Z. (Zaynab)</cp:lastModifiedBy>
  <cp:lastPrinted>2026-06-22T14:08:34Z</cp:lastPrinted>
  <dcterms:created xsi:type="dcterms:W3CDTF">2026-06-10T15:26:24Z</dcterms:created>
  <dcterms:modified xsi:type="dcterms:W3CDTF">2026-07-03T00:29:18Z</dcterms:modified>
</cp:coreProperties>
</file>